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a40f1e9aa203ec/Documents/"/>
    </mc:Choice>
  </mc:AlternateContent>
  <xr:revisionPtr revIDLastSave="17" documentId="8_{7A82552A-8945-48EA-8180-F33A1084D0A7}" xr6:coauthVersionLast="47" xr6:coauthVersionMax="47" xr10:uidLastSave="{7009E9E3-F559-49E7-A663-0846BF7477C2}"/>
  <bookViews>
    <workbookView xWindow="-120" yWindow="-120" windowWidth="38640" windowHeight="21120" xr2:uid="{F00EBF12-93A9-49C6-A051-B0280DF0BE5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1" l="1"/>
  <c r="B68" i="1"/>
  <c r="C63" i="1"/>
  <c r="B63" i="1"/>
  <c r="C69" i="1"/>
  <c r="C67" i="1"/>
  <c r="C66" i="1"/>
  <c r="Q65" i="1"/>
  <c r="B39" i="1"/>
  <c r="B35" i="1"/>
  <c r="B34" i="1"/>
  <c r="C37" i="1"/>
  <c r="B11" i="1"/>
  <c r="B7" i="1"/>
  <c r="Q7" i="1" s="1"/>
  <c r="B6" i="1"/>
  <c r="C6" i="1" s="1"/>
  <c r="D6" i="1" s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B10" i="1"/>
  <c r="C10" i="1" s="1"/>
  <c r="D10" i="1" s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C9" i="1"/>
  <c r="D9" i="1" s="1"/>
  <c r="C8" i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B5" i="1"/>
  <c r="C5" i="1" s="1"/>
  <c r="D5" i="1" s="1"/>
  <c r="B71" i="1" l="1"/>
  <c r="B42" i="1"/>
  <c r="D69" i="1"/>
  <c r="E69" i="1" s="1"/>
  <c r="F69" i="1" s="1"/>
  <c r="B70" i="1"/>
  <c r="C68" i="1"/>
  <c r="D67" i="1"/>
  <c r="E67" i="1" s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C64" i="1"/>
  <c r="D66" i="1"/>
  <c r="E66" i="1" s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B41" i="1"/>
  <c r="C38" i="1"/>
  <c r="C40" i="1"/>
  <c r="D40" i="1" s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C39" i="1"/>
  <c r="C42" i="1" s="1"/>
  <c r="C35" i="1"/>
  <c r="D35" i="1" s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D37" i="1"/>
  <c r="Q36" i="1"/>
  <c r="C34" i="1"/>
  <c r="C11" i="1"/>
  <c r="D11" i="1" s="1"/>
  <c r="B12" i="1"/>
  <c r="E5" i="1"/>
  <c r="E9" i="1"/>
  <c r="Q10" i="1"/>
  <c r="B13" i="1"/>
  <c r="Q8" i="1"/>
  <c r="C13" i="1"/>
  <c r="Q6" i="1"/>
  <c r="B43" i="1" l="1"/>
  <c r="G69" i="1"/>
  <c r="D63" i="1"/>
  <c r="C70" i="1"/>
  <c r="D68" i="1"/>
  <c r="C71" i="1"/>
  <c r="D64" i="1"/>
  <c r="E64" i="1" s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6" i="1"/>
  <c r="B72" i="1"/>
  <c r="Q67" i="1"/>
  <c r="D38" i="1"/>
  <c r="P35" i="1"/>
  <c r="D39" i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C41" i="1"/>
  <c r="D34" i="1"/>
  <c r="Q40" i="1"/>
  <c r="D12" i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D13" i="1"/>
  <c r="C12" i="1"/>
  <c r="F9" i="1"/>
  <c r="B14" i="1"/>
  <c r="B33" i="1" s="1"/>
  <c r="F5" i="1"/>
  <c r="C14" i="1" l="1"/>
  <c r="C33" i="1" s="1"/>
  <c r="C62" i="1" s="1"/>
  <c r="Q64" i="1"/>
  <c r="Q37" i="1"/>
  <c r="E39" i="1"/>
  <c r="D42" i="1"/>
  <c r="B44" i="1"/>
  <c r="B62" i="1"/>
  <c r="H69" i="1"/>
  <c r="I69" i="1" s="1"/>
  <c r="J69" i="1" s="1"/>
  <c r="K69" i="1" s="1"/>
  <c r="L69" i="1" s="1"/>
  <c r="M69" i="1" s="1"/>
  <c r="N69" i="1" s="1"/>
  <c r="O69" i="1" s="1"/>
  <c r="P69" i="1" s="1"/>
  <c r="D70" i="1"/>
  <c r="E63" i="1"/>
  <c r="E68" i="1"/>
  <c r="D71" i="1"/>
  <c r="C72" i="1"/>
  <c r="E38" i="1"/>
  <c r="Q35" i="1"/>
  <c r="C43" i="1"/>
  <c r="E34" i="1"/>
  <c r="D41" i="1"/>
  <c r="D14" i="1"/>
  <c r="D33" i="1" s="1"/>
  <c r="Q11" i="1"/>
  <c r="E13" i="1"/>
  <c r="E12" i="1"/>
  <c r="B15" i="1"/>
  <c r="F12" i="1"/>
  <c r="G5" i="1"/>
  <c r="F13" i="1"/>
  <c r="G9" i="1"/>
  <c r="F38" i="1" l="1"/>
  <c r="C44" i="1"/>
  <c r="C15" i="1"/>
  <c r="B73" i="1"/>
  <c r="C73" i="1" s="1"/>
  <c r="E42" i="1"/>
  <c r="F39" i="1"/>
  <c r="D15" i="1"/>
  <c r="D62" i="1"/>
  <c r="Q69" i="1"/>
  <c r="D72" i="1"/>
  <c r="F63" i="1"/>
  <c r="E70" i="1"/>
  <c r="F68" i="1"/>
  <c r="E71" i="1"/>
  <c r="G38" i="1"/>
  <c r="F34" i="1"/>
  <c r="E41" i="1"/>
  <c r="D43" i="1"/>
  <c r="E14" i="1"/>
  <c r="E33" i="1" s="1"/>
  <c r="G12" i="1"/>
  <c r="H5" i="1"/>
  <c r="G13" i="1"/>
  <c r="H9" i="1"/>
  <c r="F14" i="1"/>
  <c r="F33" i="1" s="1"/>
  <c r="F62" i="1" s="1"/>
  <c r="D44" i="1" l="1"/>
  <c r="D73" i="1"/>
  <c r="E43" i="1"/>
  <c r="F42" i="1"/>
  <c r="G39" i="1"/>
  <c r="E15" i="1"/>
  <c r="E62" i="1"/>
  <c r="F70" i="1"/>
  <c r="G63" i="1"/>
  <c r="G68" i="1"/>
  <c r="F71" i="1"/>
  <c r="E72" i="1"/>
  <c r="H38" i="1"/>
  <c r="F41" i="1"/>
  <c r="G34" i="1"/>
  <c r="G14" i="1"/>
  <c r="G33" i="1" s="1"/>
  <c r="I9" i="1"/>
  <c r="H13" i="1"/>
  <c r="I5" i="1"/>
  <c r="H12" i="1"/>
  <c r="E44" i="1" l="1"/>
  <c r="F44" i="1" s="1"/>
  <c r="E73" i="1"/>
  <c r="F73" i="1" s="1"/>
  <c r="G42" i="1"/>
  <c r="H39" i="1"/>
  <c r="F15" i="1"/>
  <c r="G62" i="1"/>
  <c r="F72" i="1"/>
  <c r="G70" i="1"/>
  <c r="H63" i="1"/>
  <c r="H68" i="1"/>
  <c r="G71" i="1"/>
  <c r="I38" i="1"/>
  <c r="F43" i="1"/>
  <c r="G41" i="1"/>
  <c r="H34" i="1"/>
  <c r="J5" i="1"/>
  <c r="I12" i="1"/>
  <c r="H14" i="1"/>
  <c r="H33" i="1" s="1"/>
  <c r="J9" i="1"/>
  <c r="I13" i="1"/>
  <c r="G44" i="1" l="1"/>
  <c r="G15" i="1"/>
  <c r="G18" i="1" s="1"/>
  <c r="H18" i="1" s="1"/>
  <c r="G43" i="1"/>
  <c r="H42" i="1"/>
  <c r="I39" i="1"/>
  <c r="H62" i="1"/>
  <c r="I63" i="1"/>
  <c r="H70" i="1"/>
  <c r="I68" i="1"/>
  <c r="H71" i="1"/>
  <c r="G73" i="1"/>
  <c r="G72" i="1"/>
  <c r="J38" i="1"/>
  <c r="H41" i="1"/>
  <c r="I34" i="1"/>
  <c r="I14" i="1"/>
  <c r="I33" i="1" s="1"/>
  <c r="I62" i="1" s="1"/>
  <c r="K9" i="1"/>
  <c r="J13" i="1"/>
  <c r="K5" i="1"/>
  <c r="J12" i="1"/>
  <c r="G47" i="1" l="1"/>
  <c r="H15" i="1"/>
  <c r="H19" i="1" s="1"/>
  <c r="I19" i="1" s="1"/>
  <c r="J19" i="1" s="1"/>
  <c r="I18" i="1"/>
  <c r="J18" i="1" s="1"/>
  <c r="I42" i="1"/>
  <c r="J39" i="1"/>
  <c r="H44" i="1"/>
  <c r="I44" i="1" s="1"/>
  <c r="H72" i="1"/>
  <c r="J63" i="1"/>
  <c r="I70" i="1"/>
  <c r="I71" i="1"/>
  <c r="J68" i="1"/>
  <c r="G76" i="1"/>
  <c r="H76" i="1" s="1"/>
  <c r="H73" i="1"/>
  <c r="K38" i="1"/>
  <c r="H43" i="1"/>
  <c r="J34" i="1"/>
  <c r="I41" i="1"/>
  <c r="J14" i="1"/>
  <c r="J33" i="1" s="1"/>
  <c r="L9" i="1"/>
  <c r="K13" i="1"/>
  <c r="L5" i="1"/>
  <c r="K12" i="1"/>
  <c r="H47" i="1" l="1"/>
  <c r="I15" i="1"/>
  <c r="I20" i="1" s="1"/>
  <c r="J20" i="1" s="1"/>
  <c r="I76" i="1"/>
  <c r="J42" i="1"/>
  <c r="K39" i="1"/>
  <c r="I47" i="1"/>
  <c r="J44" i="1"/>
  <c r="J62" i="1"/>
  <c r="K63" i="1"/>
  <c r="J70" i="1"/>
  <c r="I72" i="1"/>
  <c r="K68" i="1"/>
  <c r="J71" i="1"/>
  <c r="I73" i="1"/>
  <c r="H77" i="1"/>
  <c r="I77" i="1" s="1"/>
  <c r="J77" i="1" s="1"/>
  <c r="I43" i="1"/>
  <c r="L38" i="1"/>
  <c r="J41" i="1"/>
  <c r="K34" i="1"/>
  <c r="J15" i="1"/>
  <c r="J21" i="1" s="1"/>
  <c r="K21" i="1" s="1"/>
  <c r="M5" i="1"/>
  <c r="L12" i="1"/>
  <c r="K14" i="1"/>
  <c r="K33" i="1" s="1"/>
  <c r="M9" i="1"/>
  <c r="L13" i="1"/>
  <c r="K18" i="1"/>
  <c r="L18" i="1" s="1"/>
  <c r="K19" i="1"/>
  <c r="L19" i="1" s="1"/>
  <c r="K20" i="1" l="1"/>
  <c r="J47" i="1"/>
  <c r="J43" i="1"/>
  <c r="K42" i="1"/>
  <c r="L39" i="1"/>
  <c r="K44" i="1"/>
  <c r="K62" i="1"/>
  <c r="K70" i="1"/>
  <c r="L63" i="1"/>
  <c r="L68" i="1"/>
  <c r="K71" i="1"/>
  <c r="J76" i="1"/>
  <c r="J72" i="1"/>
  <c r="I78" i="1"/>
  <c r="J78" i="1" s="1"/>
  <c r="J73" i="1"/>
  <c r="M38" i="1"/>
  <c r="H48" i="1"/>
  <c r="I48" i="1" s="1"/>
  <c r="J48" i="1" s="1"/>
  <c r="K41" i="1"/>
  <c r="L34" i="1"/>
  <c r="L21" i="1"/>
  <c r="L14" i="1"/>
  <c r="L33" i="1" s="1"/>
  <c r="N9" i="1"/>
  <c r="M13" i="1"/>
  <c r="K15" i="1"/>
  <c r="K22" i="1" s="1"/>
  <c r="L22" i="1" s="1"/>
  <c r="N5" i="1"/>
  <c r="M12" i="1"/>
  <c r="M22" i="1" l="1"/>
  <c r="L20" i="1"/>
  <c r="K78" i="1"/>
  <c r="K76" i="1"/>
  <c r="L42" i="1"/>
  <c r="M39" i="1"/>
  <c r="K48" i="1"/>
  <c r="L48" i="1" s="1"/>
  <c r="K47" i="1"/>
  <c r="L62" i="1"/>
  <c r="M63" i="1"/>
  <c r="L70" i="1"/>
  <c r="M68" i="1"/>
  <c r="L71" i="1"/>
  <c r="K77" i="1"/>
  <c r="K72" i="1"/>
  <c r="K73" i="1"/>
  <c r="J79" i="1"/>
  <c r="K79" i="1" s="1"/>
  <c r="K43" i="1"/>
  <c r="N38" i="1"/>
  <c r="J50" i="1"/>
  <c r="K50" i="1" s="1"/>
  <c r="I49" i="1"/>
  <c r="J49" i="1" s="1"/>
  <c r="K49" i="1" s="1"/>
  <c r="L41" i="1"/>
  <c r="M34" i="1"/>
  <c r="M14" i="1"/>
  <c r="M33" i="1" s="1"/>
  <c r="M62" i="1" s="1"/>
  <c r="O9" i="1"/>
  <c r="N13" i="1"/>
  <c r="L15" i="1"/>
  <c r="L23" i="1" s="1"/>
  <c r="M23" i="1" s="1"/>
  <c r="N23" i="1" s="1"/>
  <c r="M18" i="1"/>
  <c r="M21" i="1"/>
  <c r="O5" i="1"/>
  <c r="N12" i="1"/>
  <c r="M19" i="1"/>
  <c r="M20" i="1" l="1"/>
  <c r="N18" i="1"/>
  <c r="N21" i="1"/>
  <c r="L50" i="1"/>
  <c r="L49" i="1"/>
  <c r="L77" i="1"/>
  <c r="L79" i="1"/>
  <c r="M42" i="1"/>
  <c r="N39" i="1"/>
  <c r="L44" i="1"/>
  <c r="M44" i="1" s="1"/>
  <c r="L47" i="1"/>
  <c r="N19" i="1"/>
  <c r="N63" i="1"/>
  <c r="M70" i="1"/>
  <c r="M71" i="1"/>
  <c r="N68" i="1"/>
  <c r="L78" i="1"/>
  <c r="M78" i="1" s="1"/>
  <c r="L76" i="1"/>
  <c r="L72" i="1"/>
  <c r="K80" i="1"/>
  <c r="L80" i="1" s="1"/>
  <c r="L73" i="1"/>
  <c r="O38" i="1"/>
  <c r="L43" i="1"/>
  <c r="M41" i="1"/>
  <c r="N34" i="1"/>
  <c r="K51" i="1"/>
  <c r="L51" i="1" s="1"/>
  <c r="N14" i="1"/>
  <c r="N33" i="1" s="1"/>
  <c r="N22" i="1"/>
  <c r="P5" i="1"/>
  <c r="O12" i="1"/>
  <c r="O13" i="1"/>
  <c r="P9" i="1"/>
  <c r="M15" i="1"/>
  <c r="M24" i="1" s="1"/>
  <c r="N24" i="1" s="1"/>
  <c r="N20" i="1" l="1"/>
  <c r="M49" i="1"/>
  <c r="M50" i="1"/>
  <c r="M48" i="1"/>
  <c r="M47" i="1"/>
  <c r="M51" i="1"/>
  <c r="N42" i="1"/>
  <c r="O39" i="1"/>
  <c r="N62" i="1"/>
  <c r="O63" i="1"/>
  <c r="N70" i="1"/>
  <c r="M77" i="1"/>
  <c r="M79" i="1"/>
  <c r="M72" i="1"/>
  <c r="O68" i="1"/>
  <c r="N71" i="1"/>
  <c r="M73" i="1"/>
  <c r="L81" i="1"/>
  <c r="M81" i="1" s="1"/>
  <c r="N81" i="1" s="1"/>
  <c r="M76" i="1"/>
  <c r="N76" i="1" s="1"/>
  <c r="M80" i="1"/>
  <c r="P38" i="1"/>
  <c r="L52" i="1"/>
  <c r="M52" i="1" s="1"/>
  <c r="N41" i="1"/>
  <c r="O34" i="1"/>
  <c r="M43" i="1"/>
  <c r="O14" i="1"/>
  <c r="O33" i="1" s="1"/>
  <c r="N15" i="1"/>
  <c r="N25" i="1" s="1"/>
  <c r="O25" i="1" s="1"/>
  <c r="O23" i="1"/>
  <c r="O22" i="1"/>
  <c r="O19" i="1"/>
  <c r="O24" i="1"/>
  <c r="P12" i="1"/>
  <c r="Q12" i="1" s="1"/>
  <c r="Q5" i="1"/>
  <c r="O18" i="1"/>
  <c r="O21" i="1"/>
  <c r="P13" i="1"/>
  <c r="Q9" i="1"/>
  <c r="O20" i="1" l="1"/>
  <c r="N44" i="1"/>
  <c r="O42" i="1"/>
  <c r="P39" i="1"/>
  <c r="N80" i="1"/>
  <c r="N50" i="1"/>
  <c r="N51" i="1"/>
  <c r="N52" i="1"/>
  <c r="N49" i="1"/>
  <c r="N43" i="1"/>
  <c r="N48" i="1"/>
  <c r="N47" i="1"/>
  <c r="O62" i="1"/>
  <c r="N77" i="1"/>
  <c r="P63" i="1"/>
  <c r="O70" i="1"/>
  <c r="P68" i="1"/>
  <c r="O71" i="1"/>
  <c r="N78" i="1"/>
  <c r="N72" i="1"/>
  <c r="M82" i="1"/>
  <c r="N82" i="1" s="1"/>
  <c r="N73" i="1"/>
  <c r="N79" i="1"/>
  <c r="P21" i="1"/>
  <c r="Q38" i="1"/>
  <c r="O41" i="1"/>
  <c r="P34" i="1"/>
  <c r="P18" i="1"/>
  <c r="P19" i="1"/>
  <c r="P24" i="1"/>
  <c r="P22" i="1"/>
  <c r="P25" i="1"/>
  <c r="O15" i="1"/>
  <c r="O26" i="1" s="1"/>
  <c r="P26" i="1" s="1"/>
  <c r="P14" i="1"/>
  <c r="P33" i="1" s="1"/>
  <c r="Q13" i="1"/>
  <c r="P23" i="1"/>
  <c r="P20" i="1" l="1"/>
  <c r="O44" i="1"/>
  <c r="O50" i="1"/>
  <c r="O52" i="1"/>
  <c r="O49" i="1"/>
  <c r="P42" i="1"/>
  <c r="Q39" i="1"/>
  <c r="O78" i="1"/>
  <c r="O82" i="1"/>
  <c r="Q63" i="1"/>
  <c r="O79" i="1"/>
  <c r="O47" i="1"/>
  <c r="O51" i="1"/>
  <c r="O48" i="1"/>
  <c r="P62" i="1"/>
  <c r="Q68" i="1"/>
  <c r="P71" i="1"/>
  <c r="O77" i="1"/>
  <c r="O81" i="1"/>
  <c r="O80" i="1"/>
  <c r="O76" i="1"/>
  <c r="O72" i="1"/>
  <c r="O73" i="1"/>
  <c r="N83" i="1"/>
  <c r="O83" i="1" s="1"/>
  <c r="P70" i="1"/>
  <c r="Q70" i="1" s="1"/>
  <c r="Q34" i="1"/>
  <c r="P41" i="1"/>
  <c r="N54" i="1"/>
  <c r="O54" i="1" s="1"/>
  <c r="M53" i="1"/>
  <c r="N53" i="1" s="1"/>
  <c r="O53" i="1" s="1"/>
  <c r="O43" i="1"/>
  <c r="P15" i="1"/>
  <c r="Q14" i="1"/>
  <c r="Q27" i="1" s="1"/>
  <c r="P77" i="1" l="1"/>
  <c r="P81" i="1"/>
  <c r="Q42" i="1"/>
  <c r="P44" i="1"/>
  <c r="P80" i="1"/>
  <c r="P76" i="1"/>
  <c r="P50" i="1"/>
  <c r="P43" i="1"/>
  <c r="P54" i="1"/>
  <c r="P53" i="1"/>
  <c r="P83" i="1"/>
  <c r="P48" i="1"/>
  <c r="P52" i="1"/>
  <c r="P49" i="1"/>
  <c r="P47" i="1"/>
  <c r="P51" i="1"/>
  <c r="P79" i="1"/>
  <c r="P82" i="1"/>
  <c r="Q71" i="1"/>
  <c r="P78" i="1"/>
  <c r="P72" i="1"/>
  <c r="Q72" i="1" s="1"/>
  <c r="Q85" i="1" s="1"/>
  <c r="O84" i="1"/>
  <c r="P84" i="1" s="1"/>
  <c r="P73" i="1"/>
  <c r="Q41" i="1"/>
  <c r="Q43" i="1" l="1"/>
  <c r="Q56" i="1" s="1"/>
  <c r="O55" i="1"/>
  <c r="P55" i="1" s="1"/>
</calcChain>
</file>

<file path=xl/sharedStrings.xml><?xml version="1.0" encoding="utf-8"?>
<sst xmlns="http://schemas.openxmlformats.org/spreadsheetml/2006/main" count="103" uniqueCount="31">
  <si>
    <t>avec credit sur 10 ans risque impayé à couvrir de 520€ chacun par mois impayé</t>
  </si>
  <si>
    <t>Année</t>
  </si>
  <si>
    <t>11</t>
  </si>
  <si>
    <t>12</t>
  </si>
  <si>
    <t>13</t>
  </si>
  <si>
    <t>14</t>
  </si>
  <si>
    <t>15</t>
  </si>
  <si>
    <t>TOTAL</t>
  </si>
  <si>
    <t>Loyers HT</t>
  </si>
  <si>
    <t>credit</t>
  </si>
  <si>
    <t>assurance credit</t>
  </si>
  <si>
    <t>comptabilité</t>
  </si>
  <si>
    <t>taxe fonciere</t>
  </si>
  <si>
    <t>charges</t>
  </si>
  <si>
    <t>assurance pno</t>
  </si>
  <si>
    <t>Tresorererie avt rbt</t>
  </si>
  <si>
    <t>refacturation</t>
  </si>
  <si>
    <t>Tresrorerie nette</t>
  </si>
  <si>
    <t>capital restant du</t>
  </si>
  <si>
    <t>credit remboursable</t>
  </si>
  <si>
    <t>oui</t>
  </si>
  <si>
    <t>avec credit sur 15 ans risque impayé à couvrir de 405€ chacun par mois impayé</t>
  </si>
  <si>
    <t>Tresorerie cumulée</t>
  </si>
  <si>
    <t>tresoreire si remboursement</t>
  </si>
  <si>
    <t>parkings</t>
  </si>
  <si>
    <t>treso nette parkings</t>
  </si>
  <si>
    <t>parkings + t2 loue 600€ HT avec credit 86k€ sur 20 ans</t>
  </si>
  <si>
    <t>parkings + 2 t2 loue 600€ HT   / 1 an de décalage sur le deuxième lot avec credit 156k€ sur 20 ans dont 56k€ de travaux</t>
  </si>
  <si>
    <t>non</t>
  </si>
  <si>
    <t>&lt;</t>
  </si>
  <si>
    <t>assurance pno et gli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</si>
</sst>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49" fontId="0" fillId="0" borderId="0" xfId="1" applyNumberFormat="1" applyFont="1"/>
    <xf numFmtId="44" fontId="0" fillId="2" borderId="0" xfId="1" applyFont="1" applyFill="1"/>
    <xf numFmtId="164" fontId="0" fillId="0" borderId="0" xfId="1" applyNumberFormat="1" applyFont="1"/>
    <xf numFmtId="0" fontId="0" fillId="2" borderId="0" xfId="0" applyFill="1"/>
    <xf numFmtId="4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E745-82D9-4B70-A517-86FE22E8A279}">
  <dimension ref="A1:Q85"/>
  <sheetViews>
    <sheetView tabSelected="1" workbookViewId="0">
      <selection activeCell="Q56" sqref="Q56"/>
    </sheetView>
  </sheetViews>
  <sheetFormatPr baseColWidth="10" defaultRowHeight="15" x14ac:dyDescent="0.25"/>
  <cols>
    <col min="1" max="1" width="27.7109375" bestFit="1" customWidth="1"/>
    <col min="2" max="8" width="11.85546875" bestFit="1" customWidth="1"/>
    <col min="9" max="17" width="12.85546875" bestFit="1" customWidth="1"/>
  </cols>
  <sheetData>
    <row r="1" spans="1:17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5">
      <c r="A2" s="8" t="s">
        <v>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1" customFormat="1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 t="s">
        <v>2</v>
      </c>
      <c r="M3" s="2" t="s">
        <v>3</v>
      </c>
      <c r="N3" s="2" t="s">
        <v>4</v>
      </c>
      <c r="O3" s="2" t="s">
        <v>5</v>
      </c>
      <c r="P3" s="2" t="s">
        <v>6</v>
      </c>
      <c r="Q3" s="1" t="s">
        <v>7</v>
      </c>
    </row>
    <row r="4" spans="1:17" x14ac:dyDescent="0.25">
      <c r="A4" s="8" t="s">
        <v>21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s="1" customFormat="1" x14ac:dyDescent="0.25">
      <c r="A5" s="1" t="s">
        <v>8</v>
      </c>
      <c r="B5" s="1">
        <f>4583.38*4</f>
        <v>18333.52</v>
      </c>
      <c r="C5" s="1">
        <f t="shared" ref="C5:P5" si="0">B5*1.015</f>
        <v>18608.522799999999</v>
      </c>
      <c r="D5" s="1">
        <f t="shared" si="0"/>
        <v>18887.650641999997</v>
      </c>
      <c r="E5" s="1">
        <f t="shared" si="0"/>
        <v>19170.965401629994</v>
      </c>
      <c r="F5" s="1">
        <f t="shared" si="0"/>
        <v>19458.529882654442</v>
      </c>
      <c r="G5" s="1">
        <f t="shared" si="0"/>
        <v>19750.407830894255</v>
      </c>
      <c r="H5" s="1">
        <f t="shared" si="0"/>
        <v>20046.663948357666</v>
      </c>
      <c r="I5" s="1">
        <f t="shared" si="0"/>
        <v>20347.363907583029</v>
      </c>
      <c r="J5" s="1">
        <f t="shared" si="0"/>
        <v>20652.574366196772</v>
      </c>
      <c r="K5" s="1">
        <f t="shared" si="0"/>
        <v>20962.362981689723</v>
      </c>
      <c r="L5" s="1">
        <f t="shared" si="0"/>
        <v>21276.798426415065</v>
      </c>
      <c r="M5" s="1">
        <f t="shared" si="0"/>
        <v>21595.95040281129</v>
      </c>
      <c r="N5" s="1">
        <f t="shared" si="0"/>
        <v>21919.889658853455</v>
      </c>
      <c r="O5" s="1">
        <f t="shared" si="0"/>
        <v>22248.688003736253</v>
      </c>
      <c r="P5" s="1">
        <f t="shared" si="0"/>
        <v>22582.418323792295</v>
      </c>
      <c r="Q5" s="1">
        <f t="shared" ref="Q5:Q14" si="1">SUM(B5:P5)</f>
        <v>305842.30657661421</v>
      </c>
    </row>
    <row r="6" spans="1:17" s="1" customFormat="1" x14ac:dyDescent="0.25">
      <c r="A6" s="1" t="s">
        <v>9</v>
      </c>
      <c r="B6" s="1">
        <f>522*12</f>
        <v>6264</v>
      </c>
      <c r="C6" s="1">
        <f t="shared" ref="C6:P6" si="2">B6</f>
        <v>6264</v>
      </c>
      <c r="D6" s="1">
        <f t="shared" si="2"/>
        <v>6264</v>
      </c>
      <c r="E6" s="1">
        <f t="shared" si="2"/>
        <v>6264</v>
      </c>
      <c r="F6" s="1">
        <f t="shared" si="2"/>
        <v>6264</v>
      </c>
      <c r="G6" s="1">
        <f t="shared" si="2"/>
        <v>6264</v>
      </c>
      <c r="H6" s="1">
        <f t="shared" si="2"/>
        <v>6264</v>
      </c>
      <c r="I6" s="1">
        <f t="shared" si="2"/>
        <v>6264</v>
      </c>
      <c r="J6" s="1">
        <f t="shared" si="2"/>
        <v>6264</v>
      </c>
      <c r="K6" s="1">
        <f t="shared" si="2"/>
        <v>6264</v>
      </c>
      <c r="L6" s="1">
        <f t="shared" si="2"/>
        <v>6264</v>
      </c>
      <c r="M6" s="1">
        <f t="shared" si="2"/>
        <v>6264</v>
      </c>
      <c r="N6" s="1">
        <f t="shared" si="2"/>
        <v>6264</v>
      </c>
      <c r="O6" s="1">
        <f t="shared" si="2"/>
        <v>6264</v>
      </c>
      <c r="P6" s="1">
        <f t="shared" si="2"/>
        <v>6264</v>
      </c>
      <c r="Q6" s="1">
        <f t="shared" si="1"/>
        <v>93960</v>
      </c>
    </row>
    <row r="7" spans="1:17" s="1" customFormat="1" x14ac:dyDescent="0.25">
      <c r="A7" s="1" t="s">
        <v>10</v>
      </c>
      <c r="B7" s="1">
        <f>(37.4/1.2)*12</f>
        <v>374</v>
      </c>
      <c r="C7" s="1">
        <v>374</v>
      </c>
      <c r="D7" s="1">
        <v>374</v>
      </c>
      <c r="E7" s="1">
        <v>374</v>
      </c>
      <c r="F7" s="1">
        <v>374</v>
      </c>
      <c r="G7" s="1">
        <v>374</v>
      </c>
      <c r="H7" s="1">
        <v>374</v>
      </c>
      <c r="I7" s="1">
        <v>374</v>
      </c>
      <c r="J7" s="1">
        <v>374</v>
      </c>
      <c r="K7" s="1">
        <v>374</v>
      </c>
      <c r="L7" s="1">
        <v>374</v>
      </c>
      <c r="M7" s="1">
        <v>374</v>
      </c>
      <c r="N7" s="1">
        <v>374</v>
      </c>
      <c r="O7" s="1">
        <v>374</v>
      </c>
      <c r="P7" s="1">
        <v>374</v>
      </c>
      <c r="Q7" s="1">
        <f t="shared" si="1"/>
        <v>5610</v>
      </c>
    </row>
    <row r="8" spans="1:17" s="1" customFormat="1" x14ac:dyDescent="0.25">
      <c r="A8" s="1" t="s">
        <v>11</v>
      </c>
      <c r="B8" s="1">
        <v>1000</v>
      </c>
      <c r="C8" s="1">
        <f t="shared" ref="C8:P8" si="3">B8*1.03</f>
        <v>1030</v>
      </c>
      <c r="D8" s="1">
        <f t="shared" si="3"/>
        <v>1060.9000000000001</v>
      </c>
      <c r="E8" s="1">
        <f t="shared" si="3"/>
        <v>1092.7270000000001</v>
      </c>
      <c r="F8" s="1">
        <f t="shared" si="3"/>
        <v>1125.50881</v>
      </c>
      <c r="G8" s="1">
        <f t="shared" si="3"/>
        <v>1159.2740743000002</v>
      </c>
      <c r="H8" s="1">
        <f t="shared" si="3"/>
        <v>1194.0522965290002</v>
      </c>
      <c r="I8" s="1">
        <f t="shared" si="3"/>
        <v>1229.8738654248702</v>
      </c>
      <c r="J8" s="1">
        <f t="shared" si="3"/>
        <v>1266.7700813876163</v>
      </c>
      <c r="K8" s="1">
        <f t="shared" si="3"/>
        <v>1304.7731838292448</v>
      </c>
      <c r="L8" s="1">
        <f t="shared" si="3"/>
        <v>1343.9163793441221</v>
      </c>
      <c r="M8" s="1">
        <f t="shared" si="3"/>
        <v>1384.2338707244458</v>
      </c>
      <c r="N8" s="1">
        <f t="shared" si="3"/>
        <v>1425.7608868461791</v>
      </c>
      <c r="O8" s="1">
        <f t="shared" si="3"/>
        <v>1468.5337134515646</v>
      </c>
      <c r="P8" s="1">
        <f t="shared" si="3"/>
        <v>1512.5897248551116</v>
      </c>
      <c r="Q8" s="1">
        <f t="shared" si="1"/>
        <v>18598.913886692157</v>
      </c>
    </row>
    <row r="9" spans="1:17" s="1" customFormat="1" x14ac:dyDescent="0.25">
      <c r="A9" s="1" t="s">
        <v>12</v>
      </c>
      <c r="B9" s="1">
        <v>773</v>
      </c>
      <c r="C9" s="1">
        <f t="shared" ref="C9:P9" si="4">B9*1.015</f>
        <v>784.59499999999991</v>
      </c>
      <c r="D9" s="1">
        <f t="shared" si="4"/>
        <v>796.36392499999988</v>
      </c>
      <c r="E9" s="1">
        <f t="shared" si="4"/>
        <v>808.30938387499975</v>
      </c>
      <c r="F9" s="1">
        <f t="shared" si="4"/>
        <v>820.43402463312464</v>
      </c>
      <c r="G9" s="1">
        <f t="shared" si="4"/>
        <v>832.74053500262141</v>
      </c>
      <c r="H9" s="1">
        <f t="shared" si="4"/>
        <v>845.23164302766065</v>
      </c>
      <c r="I9" s="1">
        <f t="shared" si="4"/>
        <v>857.91011767307543</v>
      </c>
      <c r="J9" s="1">
        <f t="shared" si="4"/>
        <v>870.77876943817148</v>
      </c>
      <c r="K9" s="1">
        <f t="shared" si="4"/>
        <v>883.84045097974399</v>
      </c>
      <c r="L9" s="1">
        <f t="shared" si="4"/>
        <v>897.0980577444401</v>
      </c>
      <c r="M9" s="1">
        <f t="shared" si="4"/>
        <v>910.55452861060667</v>
      </c>
      <c r="N9" s="1">
        <f t="shared" si="4"/>
        <v>924.21284653976568</v>
      </c>
      <c r="O9" s="1">
        <f t="shared" si="4"/>
        <v>938.07603923786212</v>
      </c>
      <c r="P9" s="1">
        <f t="shared" si="4"/>
        <v>952.14717982642992</v>
      </c>
      <c r="Q9" s="1">
        <f t="shared" si="1"/>
        <v>12895.292501588501</v>
      </c>
    </row>
    <row r="10" spans="1:17" s="1" customFormat="1" x14ac:dyDescent="0.25">
      <c r="A10" s="1" t="s">
        <v>13</v>
      </c>
      <c r="B10" s="1">
        <f>202.74*4</f>
        <v>810.96</v>
      </c>
      <c r="C10" s="1">
        <f t="shared" ref="C10:P10" si="5">B10*1.015</f>
        <v>823.12439999999992</v>
      </c>
      <c r="D10" s="1">
        <f t="shared" si="5"/>
        <v>835.47126599999979</v>
      </c>
      <c r="E10" s="1">
        <f t="shared" si="5"/>
        <v>848.00333498999976</v>
      </c>
      <c r="F10" s="1">
        <f t="shared" si="5"/>
        <v>860.72338501484967</v>
      </c>
      <c r="G10" s="1">
        <f t="shared" si="5"/>
        <v>873.63423579007235</v>
      </c>
      <c r="H10" s="1">
        <f t="shared" si="5"/>
        <v>886.73874932692331</v>
      </c>
      <c r="I10" s="1">
        <f t="shared" si="5"/>
        <v>900.03983056682705</v>
      </c>
      <c r="J10" s="1">
        <f t="shared" si="5"/>
        <v>913.54042802532933</v>
      </c>
      <c r="K10" s="1">
        <f t="shared" si="5"/>
        <v>927.2435344457092</v>
      </c>
      <c r="L10" s="1">
        <f t="shared" si="5"/>
        <v>941.15218746239475</v>
      </c>
      <c r="M10" s="1">
        <f t="shared" si="5"/>
        <v>955.26947027433062</v>
      </c>
      <c r="N10" s="1">
        <f t="shared" si="5"/>
        <v>969.59851232844551</v>
      </c>
      <c r="O10" s="1">
        <f t="shared" si="5"/>
        <v>984.14249001337214</v>
      </c>
      <c r="P10" s="1">
        <f t="shared" si="5"/>
        <v>998.90462736357267</v>
      </c>
      <c r="Q10" s="1">
        <f t="shared" si="1"/>
        <v>13528.546451601826</v>
      </c>
    </row>
    <row r="11" spans="1:17" s="1" customFormat="1" x14ac:dyDescent="0.25">
      <c r="A11" s="1" t="s">
        <v>14</v>
      </c>
      <c r="B11" s="1">
        <f>46.07*12</f>
        <v>552.84</v>
      </c>
      <c r="C11" s="1">
        <f t="shared" ref="C11:P11" si="6">B11*1.05</f>
        <v>580.48200000000008</v>
      </c>
      <c r="D11" s="1">
        <f t="shared" si="6"/>
        <v>609.50610000000006</v>
      </c>
      <c r="E11" s="1">
        <f t="shared" si="6"/>
        <v>639.98140500000011</v>
      </c>
      <c r="F11" s="1">
        <f t="shared" si="6"/>
        <v>671.98047525000015</v>
      </c>
      <c r="G11" s="1">
        <f t="shared" si="6"/>
        <v>705.57949901250015</v>
      </c>
      <c r="H11" s="1">
        <f t="shared" si="6"/>
        <v>740.85847396312522</v>
      </c>
      <c r="I11" s="1">
        <f t="shared" si="6"/>
        <v>777.90139766128152</v>
      </c>
      <c r="J11" s="1">
        <f t="shared" si="6"/>
        <v>816.79646754434566</v>
      </c>
      <c r="K11" s="1">
        <f t="shared" si="6"/>
        <v>857.63629092156293</v>
      </c>
      <c r="L11" s="1">
        <f t="shared" si="6"/>
        <v>900.51810546764113</v>
      </c>
      <c r="M11" s="1">
        <f t="shared" si="6"/>
        <v>945.54401074102327</v>
      </c>
      <c r="N11" s="1">
        <f t="shared" si="6"/>
        <v>992.82121127807443</v>
      </c>
      <c r="O11" s="1">
        <f t="shared" si="6"/>
        <v>1042.4622718419782</v>
      </c>
      <c r="P11" s="1">
        <f t="shared" si="6"/>
        <v>1094.5853854340771</v>
      </c>
      <c r="Q11" s="1">
        <f t="shared" si="1"/>
        <v>11929.493094115611</v>
      </c>
    </row>
    <row r="12" spans="1:17" s="1" customFormat="1" x14ac:dyDescent="0.25">
      <c r="A12" s="1" t="s">
        <v>15</v>
      </c>
      <c r="B12" s="1">
        <f t="shared" ref="B12:P12" si="7">B5-B6-B8-B9-B10-B11-B7</f>
        <v>8558.7200000000012</v>
      </c>
      <c r="C12" s="1">
        <f t="shared" si="7"/>
        <v>8752.3213999999989</v>
      </c>
      <c r="D12" s="1">
        <f t="shared" si="7"/>
        <v>8947.4093509999966</v>
      </c>
      <c r="E12" s="1">
        <f t="shared" si="7"/>
        <v>9143.9442777649929</v>
      </c>
      <c r="F12" s="1">
        <f t="shared" si="7"/>
        <v>9341.883187756468</v>
      </c>
      <c r="G12" s="1">
        <f t="shared" si="7"/>
        <v>9541.1794867890621</v>
      </c>
      <c r="H12" s="1">
        <f t="shared" si="7"/>
        <v>9741.7827855109554</v>
      </c>
      <c r="I12" s="1">
        <f t="shared" si="7"/>
        <v>9943.6386962569741</v>
      </c>
      <c r="J12" s="1">
        <f t="shared" si="7"/>
        <v>10146.688619801309</v>
      </c>
      <c r="K12" s="1">
        <f t="shared" si="7"/>
        <v>10350.869521513461</v>
      </c>
      <c r="L12" s="1">
        <f t="shared" si="7"/>
        <v>10556.113696396467</v>
      </c>
      <c r="M12" s="1">
        <f t="shared" si="7"/>
        <v>10762.348522460885</v>
      </c>
      <c r="N12" s="1">
        <f t="shared" si="7"/>
        <v>10969.496201860989</v>
      </c>
      <c r="O12" s="1">
        <f t="shared" si="7"/>
        <v>11177.473489191478</v>
      </c>
      <c r="P12" s="1">
        <f t="shared" si="7"/>
        <v>11386.191406313104</v>
      </c>
      <c r="Q12" s="1">
        <f t="shared" si="1"/>
        <v>149320.06064261615</v>
      </c>
    </row>
    <row r="13" spans="1:17" s="1" customFormat="1" x14ac:dyDescent="0.25">
      <c r="A13" s="1" t="s">
        <v>16</v>
      </c>
      <c r="B13" s="1">
        <f t="shared" ref="B13:P13" si="8">B9+B10+B11</f>
        <v>2136.8000000000002</v>
      </c>
      <c r="C13" s="1">
        <f t="shared" si="8"/>
        <v>2188.2013999999999</v>
      </c>
      <c r="D13" s="1">
        <f t="shared" si="8"/>
        <v>2241.3412909999997</v>
      </c>
      <c r="E13" s="1">
        <f t="shared" si="8"/>
        <v>2296.2941238649996</v>
      </c>
      <c r="F13" s="1">
        <f t="shared" si="8"/>
        <v>2353.1378848979748</v>
      </c>
      <c r="G13" s="1">
        <f t="shared" si="8"/>
        <v>2411.9542698051937</v>
      </c>
      <c r="H13" s="1">
        <f t="shared" si="8"/>
        <v>2472.8288663177091</v>
      </c>
      <c r="I13" s="1">
        <f t="shared" si="8"/>
        <v>2535.8513459011838</v>
      </c>
      <c r="J13" s="1">
        <f t="shared" si="8"/>
        <v>2601.1156650078465</v>
      </c>
      <c r="K13" s="1">
        <f t="shared" si="8"/>
        <v>2668.7202763470159</v>
      </c>
      <c r="L13" s="1">
        <f t="shared" si="8"/>
        <v>2738.7683506744761</v>
      </c>
      <c r="M13" s="1">
        <f t="shared" si="8"/>
        <v>2811.3680096259604</v>
      </c>
      <c r="N13" s="1">
        <f t="shared" si="8"/>
        <v>2886.6325701462856</v>
      </c>
      <c r="O13" s="1">
        <f t="shared" si="8"/>
        <v>2964.6808010932127</v>
      </c>
      <c r="P13" s="1">
        <f t="shared" si="8"/>
        <v>3045.6371926240799</v>
      </c>
      <c r="Q13" s="1">
        <f t="shared" si="1"/>
        <v>38353.332047305936</v>
      </c>
    </row>
    <row r="14" spans="1:17" s="1" customFormat="1" x14ac:dyDescent="0.25">
      <c r="A14" s="1" t="s">
        <v>17</v>
      </c>
      <c r="B14" s="1">
        <f t="shared" ref="B14:P14" si="9">B13+B12</f>
        <v>10695.52</v>
      </c>
      <c r="C14" s="1">
        <f t="shared" si="9"/>
        <v>10940.522799999999</v>
      </c>
      <c r="D14" s="1">
        <f t="shared" si="9"/>
        <v>11188.750641999995</v>
      </c>
      <c r="E14" s="1">
        <f t="shared" si="9"/>
        <v>11440.238401629993</v>
      </c>
      <c r="F14" s="1">
        <f t="shared" si="9"/>
        <v>11695.021072654443</v>
      </c>
      <c r="G14" s="1">
        <f t="shared" si="9"/>
        <v>11953.133756594256</v>
      </c>
      <c r="H14" s="1">
        <f t="shared" si="9"/>
        <v>12214.611651828665</v>
      </c>
      <c r="I14" s="1">
        <f t="shared" si="9"/>
        <v>12479.490042158159</v>
      </c>
      <c r="J14" s="1">
        <f t="shared" si="9"/>
        <v>12747.804284809155</v>
      </c>
      <c r="K14" s="1">
        <f t="shared" si="9"/>
        <v>13019.589797860477</v>
      </c>
      <c r="L14" s="1">
        <f t="shared" si="9"/>
        <v>13294.882047070943</v>
      </c>
      <c r="M14" s="1">
        <f t="shared" si="9"/>
        <v>13573.716532086844</v>
      </c>
      <c r="N14" s="1">
        <f t="shared" si="9"/>
        <v>13856.128772007276</v>
      </c>
      <c r="O14" s="1">
        <f t="shared" si="9"/>
        <v>14142.15429028469</v>
      </c>
      <c r="P14" s="1">
        <f t="shared" si="9"/>
        <v>14431.828598937183</v>
      </c>
      <c r="Q14" s="1">
        <f t="shared" si="1"/>
        <v>187673.39268992207</v>
      </c>
    </row>
    <row r="15" spans="1:17" s="1" customFormat="1" x14ac:dyDescent="0.25">
      <c r="A15" s="1" t="s">
        <v>22</v>
      </c>
      <c r="B15" s="1">
        <f>B14</f>
        <v>10695.52</v>
      </c>
      <c r="C15" s="1">
        <f t="shared" ref="C15:P15" si="10">C14+B15</f>
        <v>21636.042799999999</v>
      </c>
      <c r="D15" s="1">
        <f t="shared" si="10"/>
        <v>32824.793441999995</v>
      </c>
      <c r="E15" s="1">
        <f t="shared" si="10"/>
        <v>44265.031843629986</v>
      </c>
      <c r="F15" s="1">
        <f t="shared" si="10"/>
        <v>55960.052916284432</v>
      </c>
      <c r="G15" s="1">
        <f t="shared" si="10"/>
        <v>67913.186672878684</v>
      </c>
      <c r="H15" s="1">
        <f t="shared" si="10"/>
        <v>80127.798324707343</v>
      </c>
      <c r="I15" s="1">
        <f t="shared" si="10"/>
        <v>92607.288366865498</v>
      </c>
      <c r="J15" s="1">
        <f t="shared" si="10"/>
        <v>105355.09265167465</v>
      </c>
      <c r="K15" s="1">
        <f t="shared" si="10"/>
        <v>118374.68244953513</v>
      </c>
      <c r="L15" s="1">
        <f t="shared" si="10"/>
        <v>131669.56449660606</v>
      </c>
      <c r="M15" s="1">
        <f t="shared" si="10"/>
        <v>145243.2810286929</v>
      </c>
      <c r="N15" s="1">
        <f t="shared" si="10"/>
        <v>159099.40980070017</v>
      </c>
      <c r="O15" s="1">
        <f t="shared" si="10"/>
        <v>173241.56409098487</v>
      </c>
      <c r="P15" s="1">
        <f t="shared" si="10"/>
        <v>187673.39268992207</v>
      </c>
      <c r="Q15" s="3"/>
    </row>
    <row r="16" spans="1:17" s="1" customFormat="1" x14ac:dyDescent="0.25">
      <c r="A16" s="1" t="s">
        <v>18</v>
      </c>
      <c r="B16" s="4">
        <v>67893.75</v>
      </c>
      <c r="C16" s="4">
        <v>64118.05</v>
      </c>
      <c r="D16" s="4">
        <v>60257.5</v>
      </c>
      <c r="E16" s="4">
        <v>56216.52</v>
      </c>
      <c r="F16" s="4">
        <v>52019.17</v>
      </c>
      <c r="G16" s="4">
        <v>47659</v>
      </c>
      <c r="H16" s="1">
        <v>43132</v>
      </c>
      <c r="I16" s="1">
        <v>38429</v>
      </c>
      <c r="J16" s="1">
        <v>33544</v>
      </c>
      <c r="K16" s="1">
        <v>28470</v>
      </c>
      <c r="L16" s="1">
        <v>23199</v>
      </c>
      <c r="M16" s="1">
        <v>17725</v>
      </c>
      <c r="N16" s="1">
        <v>12039</v>
      </c>
      <c r="O16" s="1">
        <v>6133</v>
      </c>
      <c r="P16" s="1">
        <v>0</v>
      </c>
      <c r="Q16" s="1">
        <v>0</v>
      </c>
    </row>
    <row r="17" spans="1:17" s="1" customFormat="1" x14ac:dyDescent="0.25">
      <c r="A17" s="1" t="s">
        <v>19</v>
      </c>
      <c r="B17" s="3"/>
      <c r="C17" s="3"/>
      <c r="D17" s="3"/>
      <c r="E17" s="3"/>
      <c r="F17" s="3"/>
      <c r="G17" s="1" t="s">
        <v>20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20</v>
      </c>
      <c r="Q17" s="3"/>
    </row>
    <row r="18" spans="1:17" x14ac:dyDescent="0.25">
      <c r="A18" s="9" t="s">
        <v>23</v>
      </c>
      <c r="B18" s="5"/>
      <c r="C18" s="5"/>
      <c r="D18" s="5"/>
      <c r="E18" s="5"/>
      <c r="F18" s="5"/>
      <c r="G18" s="6">
        <f>G15-G16-(G16*0.037)</f>
        <v>18490.803672878683</v>
      </c>
      <c r="H18" s="6">
        <f t="shared" ref="H18:P18" si="11">G18+H5+H13-H8-H9-H10-H11</f>
        <v>37343.415324707348</v>
      </c>
      <c r="I18" s="6">
        <f t="shared" si="11"/>
        <v>56460.905366865496</v>
      </c>
      <c r="J18" s="6">
        <f t="shared" si="11"/>
        <v>75846.709651674653</v>
      </c>
      <c r="K18" s="6">
        <f t="shared" si="11"/>
        <v>95504.299449535145</v>
      </c>
      <c r="L18" s="6">
        <f t="shared" si="11"/>
        <v>115437.18149660609</v>
      </c>
      <c r="M18" s="6">
        <f t="shared" si="11"/>
        <v>135648.89802869293</v>
      </c>
      <c r="N18" s="6">
        <f t="shared" si="11"/>
        <v>156143.02680070026</v>
      </c>
      <c r="O18" s="6">
        <f t="shared" si="11"/>
        <v>176923.18109098493</v>
      </c>
      <c r="P18" s="6">
        <f t="shared" si="11"/>
        <v>197993.0096899221</v>
      </c>
      <c r="Q18" s="5"/>
    </row>
    <row r="19" spans="1:17" x14ac:dyDescent="0.25">
      <c r="A19" s="9"/>
      <c r="B19" s="5"/>
      <c r="C19" s="5"/>
      <c r="D19" s="5"/>
      <c r="E19" s="5"/>
      <c r="F19" s="5"/>
      <c r="G19" s="5"/>
      <c r="H19" s="6">
        <f>H15-H16-(H16*0.037)</f>
        <v>35399.914324707344</v>
      </c>
      <c r="I19" s="6">
        <f t="shared" ref="I19:P19" si="12">H19+I5+I13-I8-I9-I10-I11</f>
        <v>54517.404366865492</v>
      </c>
      <c r="J19" s="6">
        <f t="shared" si="12"/>
        <v>73903.208651674649</v>
      </c>
      <c r="K19" s="6">
        <f t="shared" si="12"/>
        <v>93560.798449535127</v>
      </c>
      <c r="L19" s="6">
        <f t="shared" si="12"/>
        <v>113493.68049660607</v>
      </c>
      <c r="M19" s="6">
        <f t="shared" si="12"/>
        <v>133705.39702869291</v>
      </c>
      <c r="N19" s="6">
        <f t="shared" si="12"/>
        <v>154199.52580070021</v>
      </c>
      <c r="O19" s="6">
        <f t="shared" si="12"/>
        <v>174979.68009098488</v>
      </c>
      <c r="P19" s="6">
        <f t="shared" si="12"/>
        <v>196049.50868992205</v>
      </c>
      <c r="Q19" s="5"/>
    </row>
    <row r="20" spans="1:17" x14ac:dyDescent="0.25">
      <c r="A20" s="9"/>
      <c r="B20" s="5"/>
      <c r="C20" s="5"/>
      <c r="D20" s="5"/>
      <c r="E20" s="5"/>
      <c r="F20" s="5"/>
      <c r="G20" s="5"/>
      <c r="H20" s="5"/>
      <c r="I20" s="6">
        <f>I15-I16-(I16*0.037)</f>
        <v>52756.415366865498</v>
      </c>
      <c r="J20" s="6">
        <f t="shared" ref="J20:P20" si="13">I20+J5+J13-J8-J9-J10-J11</f>
        <v>72142.219651674663</v>
      </c>
      <c r="K20" s="6">
        <f t="shared" si="13"/>
        <v>91799.809449535154</v>
      </c>
      <c r="L20" s="6">
        <f t="shared" si="13"/>
        <v>111732.6914966061</v>
      </c>
      <c r="M20" s="6">
        <f t="shared" si="13"/>
        <v>131944.40802869294</v>
      </c>
      <c r="N20" s="6">
        <f t="shared" si="13"/>
        <v>152438.53680070027</v>
      </c>
      <c r="O20" s="6">
        <f t="shared" si="13"/>
        <v>173218.69109098494</v>
      </c>
      <c r="P20" s="6">
        <f t="shared" si="13"/>
        <v>194288.5196899221</v>
      </c>
      <c r="Q20" s="5"/>
    </row>
    <row r="21" spans="1:17" x14ac:dyDescent="0.25">
      <c r="A21" s="9"/>
      <c r="B21" s="5"/>
      <c r="C21" s="5"/>
      <c r="D21" s="5"/>
      <c r="E21" s="5"/>
      <c r="F21" s="5"/>
      <c r="G21" s="5"/>
      <c r="H21" s="5"/>
      <c r="I21" s="5"/>
      <c r="J21" s="6">
        <f>J15-J16-(J16*0.037)</f>
        <v>70569.964651674658</v>
      </c>
      <c r="K21" s="6">
        <f t="shared" ref="K21:P21" si="14">J21+K5+K13-K8-K9-K10-K11</f>
        <v>90227.55444953515</v>
      </c>
      <c r="L21" s="6">
        <f t="shared" si="14"/>
        <v>110160.4364966061</v>
      </c>
      <c r="M21" s="6">
        <f t="shared" si="14"/>
        <v>130372.15302869293</v>
      </c>
      <c r="N21" s="6">
        <f t="shared" si="14"/>
        <v>150866.28180070026</v>
      </c>
      <c r="O21" s="6">
        <f t="shared" si="14"/>
        <v>171646.43609098493</v>
      </c>
      <c r="P21" s="6">
        <f t="shared" si="14"/>
        <v>192716.2646899221</v>
      </c>
      <c r="Q21" s="5"/>
    </row>
    <row r="22" spans="1:17" x14ac:dyDescent="0.25">
      <c r="A22" s="9"/>
      <c r="B22" s="5"/>
      <c r="C22" s="5"/>
      <c r="D22" s="5"/>
      <c r="E22" s="5"/>
      <c r="F22" s="5"/>
      <c r="G22" s="5"/>
      <c r="H22" s="5"/>
      <c r="I22" s="5"/>
      <c r="J22" s="5"/>
      <c r="K22" s="6">
        <f>K15-K16-(K16*0.037)</f>
        <v>88851.292449535133</v>
      </c>
      <c r="L22" s="6">
        <f>K22+L5+L13-L8-L9-L10-L11</f>
        <v>108784.17449660608</v>
      </c>
      <c r="M22" s="6">
        <f>L22+M5+M13-M8-M9-M10-M11</f>
        <v>128995.89102869292</v>
      </c>
      <c r="N22" s="6">
        <f>M22+N5+N13-N8-N9-N10-N11</f>
        <v>149490.01980070022</v>
      </c>
      <c r="O22" s="6">
        <f>N22+O5+O13-O8-O9-O10-O11</f>
        <v>170270.17409098489</v>
      </c>
      <c r="P22" s="6">
        <f>O22+P5+P13-P8-P9-P10-P11</f>
        <v>191340.00268992205</v>
      </c>
      <c r="Q22" s="5"/>
    </row>
    <row r="23" spans="1:17" x14ac:dyDescent="0.25">
      <c r="A23" s="9"/>
      <c r="B23" s="5"/>
      <c r="C23" s="5"/>
      <c r="D23" s="5"/>
      <c r="E23" s="5"/>
      <c r="F23" s="5"/>
      <c r="G23" s="5"/>
      <c r="H23" s="5"/>
      <c r="I23" s="5"/>
      <c r="J23" s="5"/>
      <c r="K23" s="5"/>
      <c r="L23" s="6">
        <f>L15-L16-(L16*0.037)</f>
        <v>107612.20149660607</v>
      </c>
      <c r="M23" s="6">
        <f>L23+M5+M13-M8-M9-M10-M11</f>
        <v>127823.91802869289</v>
      </c>
      <c r="N23" s="6">
        <f>M23+N5+N13-N8-N9-N10-N11</f>
        <v>148318.04680070022</v>
      </c>
      <c r="O23" s="6">
        <f>N23+O5+O13-O8-O9-O10-O11</f>
        <v>169098.20109098489</v>
      </c>
      <c r="P23" s="6">
        <f>O23+P5+P13-P8-P9-P10-P11</f>
        <v>190168.02968992206</v>
      </c>
      <c r="Q23" s="5"/>
    </row>
    <row r="24" spans="1:17" x14ac:dyDescent="0.25">
      <c r="A24" s="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6">
        <f>M15-M16-(M16*0.037)</f>
        <v>126862.4560286929</v>
      </c>
      <c r="N24" s="6">
        <f>M24+N5+N13-N8-N9-N10-N11</f>
        <v>147356.58480070022</v>
      </c>
      <c r="O24" s="6">
        <f>N24+O5+O13-O8-O9-O10-O11</f>
        <v>168136.73909098489</v>
      </c>
      <c r="P24" s="6">
        <f>O24+P5+P13-P8-P9-P10-P11</f>
        <v>189206.56768992206</v>
      </c>
      <c r="Q24" s="5"/>
    </row>
    <row r="25" spans="1:17" x14ac:dyDescent="0.25">
      <c r="A25" s="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6">
        <f>N15-N16-(N16*0.037)</f>
        <v>146614.96680070017</v>
      </c>
      <c r="O25" s="6">
        <f>N25+O5+O13-O8-O9-O10-O11</f>
        <v>167395.12109098485</v>
      </c>
      <c r="P25" s="6">
        <f>O25+P5+P13-P8-P9-P10-P11</f>
        <v>188464.94968992201</v>
      </c>
      <c r="Q25" s="5"/>
    </row>
    <row r="26" spans="1:17" x14ac:dyDescent="0.25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6">
        <f>O15-O16-(O16*0.037)</f>
        <v>166881.64309098487</v>
      </c>
      <c r="P26" s="6">
        <f>O26+P5+P13-P8-P9-P10-P11</f>
        <v>187951.47168992204</v>
      </c>
      <c r="Q26" s="5"/>
    </row>
    <row r="27" spans="1:17" x14ac:dyDescent="0.25">
      <c r="A27" s="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>
        <f>Q14</f>
        <v>187673.39268992207</v>
      </c>
    </row>
    <row r="30" spans="1:17" x14ac:dyDescent="0.25">
      <c r="A30" s="8" t="s">
        <v>26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x14ac:dyDescent="0.25">
      <c r="A31" s="8" t="s">
        <v>24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 s="1" customFormat="1" x14ac:dyDescent="0.25">
      <c r="A32" s="1" t="s">
        <v>1</v>
      </c>
      <c r="B32" s="2">
        <v>1</v>
      </c>
      <c r="C32" s="2">
        <v>2</v>
      </c>
      <c r="D32" s="2">
        <v>3</v>
      </c>
      <c r="E32" s="2">
        <v>4</v>
      </c>
      <c r="F32" s="2">
        <v>5</v>
      </c>
      <c r="G32" s="2">
        <v>6</v>
      </c>
      <c r="H32" s="2">
        <v>7</v>
      </c>
      <c r="I32" s="2">
        <v>8</v>
      </c>
      <c r="J32" s="2">
        <v>9</v>
      </c>
      <c r="K32" s="2">
        <v>10</v>
      </c>
      <c r="L32" s="2" t="s">
        <v>2</v>
      </c>
      <c r="M32" s="2" t="s">
        <v>3</v>
      </c>
      <c r="N32" s="2" t="s">
        <v>4</v>
      </c>
      <c r="O32" s="2" t="s">
        <v>5</v>
      </c>
      <c r="P32" s="2" t="s">
        <v>6</v>
      </c>
      <c r="Q32" s="1" t="s">
        <v>7</v>
      </c>
    </row>
    <row r="33" spans="1:17" x14ac:dyDescent="0.25">
      <c r="A33" s="7" t="s">
        <v>25</v>
      </c>
      <c r="B33" s="10">
        <f>B14</f>
        <v>10695.52</v>
      </c>
      <c r="C33" s="10">
        <f>C14</f>
        <v>10940.522799999999</v>
      </c>
      <c r="D33" s="10">
        <f>D14</f>
        <v>11188.750641999995</v>
      </c>
      <c r="E33" s="10">
        <f>E14</f>
        <v>11440.238401629993</v>
      </c>
      <c r="F33" s="10">
        <f>F14</f>
        <v>11695.021072654443</v>
      </c>
      <c r="G33" s="10">
        <f>G14</f>
        <v>11953.133756594256</v>
      </c>
      <c r="H33" s="10">
        <f>H14</f>
        <v>12214.611651828665</v>
      </c>
      <c r="I33" s="10">
        <f>I14</f>
        <v>12479.490042158159</v>
      </c>
      <c r="J33" s="10">
        <f>J14</f>
        <v>12747.804284809155</v>
      </c>
      <c r="K33" s="10">
        <f>K14</f>
        <v>13019.589797860477</v>
      </c>
      <c r="L33" s="10">
        <f>L14</f>
        <v>13294.882047070943</v>
      </c>
      <c r="M33" s="10">
        <f>M14</f>
        <v>13573.716532086844</v>
      </c>
      <c r="N33" s="10">
        <f>N14</f>
        <v>13856.128772007276</v>
      </c>
      <c r="O33" s="10">
        <f>O14</f>
        <v>14142.15429028469</v>
      </c>
      <c r="P33" s="10">
        <f>P14</f>
        <v>14431.828598937183</v>
      </c>
      <c r="Q33" s="7"/>
    </row>
    <row r="34" spans="1:17" s="1" customFormat="1" x14ac:dyDescent="0.25">
      <c r="A34" s="1" t="s">
        <v>8</v>
      </c>
      <c r="B34" s="1">
        <f>600*12</f>
        <v>7200</v>
      </c>
      <c r="C34" s="1">
        <f t="shared" ref="C34" si="15">B34*1.015</f>
        <v>7307.9999999999991</v>
      </c>
      <c r="D34" s="1">
        <f t="shared" ref="D34" si="16">C34*1.015</f>
        <v>7417.6199999999981</v>
      </c>
      <c r="E34" s="1">
        <f t="shared" ref="E34" si="17">D34*1.015</f>
        <v>7528.884299999997</v>
      </c>
      <c r="F34" s="1">
        <f t="shared" ref="F34" si="18">E34*1.015</f>
        <v>7641.8175644999965</v>
      </c>
      <c r="G34" s="1">
        <f t="shared" ref="G34" si="19">F34*1.015</f>
        <v>7756.4448279674953</v>
      </c>
      <c r="H34" s="1">
        <f t="shared" ref="H34" si="20">G34*1.015</f>
        <v>7872.7915003870066</v>
      </c>
      <c r="I34" s="1">
        <f t="shared" ref="I34" si="21">H34*1.015</f>
        <v>7990.8833728928112</v>
      </c>
      <c r="J34" s="1">
        <f t="shared" ref="J34" si="22">I34*1.015</f>
        <v>8110.7466234862022</v>
      </c>
      <c r="K34" s="1">
        <f t="shared" ref="K34" si="23">J34*1.015</f>
        <v>8232.4078228384951</v>
      </c>
      <c r="L34" s="1">
        <f t="shared" ref="L34" si="24">K34*1.015</f>
        <v>8355.8939401810712</v>
      </c>
      <c r="M34" s="1">
        <f t="shared" ref="M34" si="25">L34*1.015</f>
        <v>8481.2323492837859</v>
      </c>
      <c r="N34" s="1">
        <f t="shared" ref="N34" si="26">M34*1.015</f>
        <v>8608.4508345230424</v>
      </c>
      <c r="O34" s="1">
        <f t="shared" ref="O34" si="27">N34*1.015</f>
        <v>8737.5775970408868</v>
      </c>
      <c r="P34" s="1">
        <f t="shared" ref="P34" si="28">O34*1.015</f>
        <v>8868.6412609964991</v>
      </c>
      <c r="Q34" s="1">
        <f>SUM(B34:P34)</f>
        <v>120111.39199409731</v>
      </c>
    </row>
    <row r="35" spans="1:17" s="1" customFormat="1" x14ac:dyDescent="0.25">
      <c r="A35" s="1" t="s">
        <v>9</v>
      </c>
      <c r="B35" s="1">
        <f>540*12</f>
        <v>6480</v>
      </c>
      <c r="C35" s="1">
        <f t="shared" ref="C35" si="29">B35</f>
        <v>6480</v>
      </c>
      <c r="D35" s="1">
        <f t="shared" ref="D35" si="30">C35</f>
        <v>6480</v>
      </c>
      <c r="E35" s="1">
        <f t="shared" ref="E35" si="31">D35</f>
        <v>6480</v>
      </c>
      <c r="F35" s="1">
        <f t="shared" ref="F35" si="32">E35</f>
        <v>6480</v>
      </c>
      <c r="G35" s="1">
        <f t="shared" ref="G35" si="33">F35</f>
        <v>6480</v>
      </c>
      <c r="H35" s="1">
        <f t="shared" ref="H35" si="34">G35</f>
        <v>6480</v>
      </c>
      <c r="I35" s="1">
        <f t="shared" ref="I35" si="35">H35</f>
        <v>6480</v>
      </c>
      <c r="J35" s="1">
        <f t="shared" ref="J35" si="36">I35</f>
        <v>6480</v>
      </c>
      <c r="K35" s="1">
        <f t="shared" ref="K35" si="37">J35</f>
        <v>6480</v>
      </c>
      <c r="L35" s="1">
        <f t="shared" ref="L35" si="38">K35</f>
        <v>6480</v>
      </c>
      <c r="M35" s="1">
        <f t="shared" ref="M35" si="39">L35</f>
        <v>6480</v>
      </c>
      <c r="N35" s="1">
        <f t="shared" ref="N35" si="40">M35</f>
        <v>6480</v>
      </c>
      <c r="O35" s="1">
        <f t="shared" ref="O35" si="41">N35</f>
        <v>6480</v>
      </c>
      <c r="P35" s="1">
        <f t="shared" ref="P35" si="42">O35</f>
        <v>6480</v>
      </c>
      <c r="Q35" s="1">
        <f>SUM(B35:P35)</f>
        <v>97200</v>
      </c>
    </row>
    <row r="36" spans="1:17" s="1" customFormat="1" x14ac:dyDescent="0.25">
      <c r="A36" s="1" t="s">
        <v>10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f>SUM(B36:P36)</f>
        <v>0</v>
      </c>
    </row>
    <row r="37" spans="1:17" s="1" customFormat="1" x14ac:dyDescent="0.25">
      <c r="A37" s="1" t="s">
        <v>11</v>
      </c>
      <c r="B37" s="1">
        <v>0</v>
      </c>
      <c r="C37" s="1">
        <f t="shared" ref="C37" si="43">B37*1.03</f>
        <v>0</v>
      </c>
      <c r="D37" s="1">
        <f t="shared" ref="D37" si="44">C37*1.03</f>
        <v>0</v>
      </c>
      <c r="E37" s="1">
        <f t="shared" ref="E37" si="45">D37*1.03</f>
        <v>0</v>
      </c>
      <c r="F37" s="1">
        <f t="shared" ref="F37" si="46">E37*1.03</f>
        <v>0</v>
      </c>
      <c r="G37" s="1">
        <f t="shared" ref="G37" si="47">F37*1.03</f>
        <v>0</v>
      </c>
      <c r="H37" s="1">
        <f t="shared" ref="H37" si="48">G37*1.03</f>
        <v>0</v>
      </c>
      <c r="I37" s="1">
        <f t="shared" ref="I37" si="49">H37*1.03</f>
        <v>0</v>
      </c>
      <c r="J37" s="1">
        <f t="shared" ref="J37" si="50">I37*1.03</f>
        <v>0</v>
      </c>
      <c r="K37" s="1">
        <f t="shared" ref="K37" si="51">J37*1.03</f>
        <v>0</v>
      </c>
      <c r="L37" s="1">
        <f t="shared" ref="L37" si="52">K37*1.03</f>
        <v>0</v>
      </c>
      <c r="M37" s="1">
        <f t="shared" ref="M37" si="53">L37*1.03</f>
        <v>0</v>
      </c>
      <c r="N37" s="1">
        <f t="shared" ref="N37" si="54">M37*1.03</f>
        <v>0</v>
      </c>
      <c r="O37" s="1">
        <f t="shared" ref="O37" si="55">N37*1.03</f>
        <v>0</v>
      </c>
      <c r="P37" s="1">
        <f t="shared" ref="P37" si="56">O37*1.03</f>
        <v>0</v>
      </c>
      <c r="Q37" s="1">
        <f>SUM(B37:P37)</f>
        <v>0</v>
      </c>
    </row>
    <row r="38" spans="1:17" s="1" customFormat="1" x14ac:dyDescent="0.25">
      <c r="A38" s="1" t="s">
        <v>12</v>
      </c>
      <c r="B38" s="1">
        <v>800</v>
      </c>
      <c r="C38" s="1">
        <f t="shared" ref="C38:C39" si="57">B38*1.015</f>
        <v>811.99999999999989</v>
      </c>
      <c r="D38" s="1">
        <f t="shared" ref="D38:D39" si="58">C38*1.015</f>
        <v>824.17999999999984</v>
      </c>
      <c r="E38" s="1">
        <f t="shared" ref="E38:E39" si="59">D38*1.015</f>
        <v>836.54269999999974</v>
      </c>
      <c r="F38" s="1">
        <f t="shared" ref="F38:F39" si="60">E38*1.015</f>
        <v>849.09084049999967</v>
      </c>
      <c r="G38" s="1">
        <f t="shared" ref="G38:G39" si="61">F38*1.015</f>
        <v>861.8272031074996</v>
      </c>
      <c r="H38" s="1">
        <f t="shared" ref="H38:H39" si="62">G38*1.015</f>
        <v>874.75461115411201</v>
      </c>
      <c r="I38" s="1">
        <f t="shared" ref="I38:I39" si="63">H38*1.015</f>
        <v>887.87593032142365</v>
      </c>
      <c r="J38" s="1">
        <f t="shared" ref="J38:J39" si="64">I38*1.015</f>
        <v>901.19406927624493</v>
      </c>
      <c r="K38" s="1">
        <f t="shared" ref="K38:K39" si="65">J38*1.015</f>
        <v>914.71198031538847</v>
      </c>
      <c r="L38" s="1">
        <f t="shared" ref="L38:L39" si="66">K38*1.015</f>
        <v>928.43266002011922</v>
      </c>
      <c r="M38" s="1">
        <f t="shared" ref="M38:M39" si="67">L38*1.015</f>
        <v>942.35914992042092</v>
      </c>
      <c r="N38" s="1">
        <f t="shared" ref="N38:N39" si="68">M38*1.015</f>
        <v>956.4945371692271</v>
      </c>
      <c r="O38" s="1">
        <f t="shared" ref="O38:O39" si="69">N38*1.015</f>
        <v>970.84195522676544</v>
      </c>
      <c r="P38" s="1">
        <f t="shared" ref="P38:P39" si="70">O38*1.015</f>
        <v>985.40458455516682</v>
      </c>
      <c r="Q38" s="1">
        <f>SUM(B38:P38)</f>
        <v>13345.710221566367</v>
      </c>
    </row>
    <row r="39" spans="1:17" s="1" customFormat="1" x14ac:dyDescent="0.25">
      <c r="A39" s="1" t="s">
        <v>13</v>
      </c>
      <c r="B39" s="1">
        <f>(30*12)+130</f>
        <v>490</v>
      </c>
      <c r="C39" s="1">
        <f t="shared" si="57"/>
        <v>497.34999999999997</v>
      </c>
      <c r="D39" s="1">
        <f t="shared" si="58"/>
        <v>504.81024999999994</v>
      </c>
      <c r="E39" s="1">
        <f t="shared" si="59"/>
        <v>512.38240374999987</v>
      </c>
      <c r="F39" s="1">
        <f t="shared" si="60"/>
        <v>520.06813980624986</v>
      </c>
      <c r="G39" s="1">
        <f t="shared" si="61"/>
        <v>527.86916190334352</v>
      </c>
      <c r="H39" s="1">
        <f t="shared" si="62"/>
        <v>535.78719933189359</v>
      </c>
      <c r="I39" s="1">
        <f t="shared" si="63"/>
        <v>543.82400732187193</v>
      </c>
      <c r="J39" s="1">
        <f t="shared" si="64"/>
        <v>551.98136743169994</v>
      </c>
      <c r="K39" s="1">
        <f t="shared" si="65"/>
        <v>560.26108794317543</v>
      </c>
      <c r="L39" s="1">
        <f t="shared" si="66"/>
        <v>568.66500426232301</v>
      </c>
      <c r="M39" s="1">
        <f t="shared" si="67"/>
        <v>577.19497932625779</v>
      </c>
      <c r="N39" s="1">
        <f t="shared" si="68"/>
        <v>585.85290401615157</v>
      </c>
      <c r="O39" s="1">
        <f t="shared" si="69"/>
        <v>594.64069757639379</v>
      </c>
      <c r="P39" s="1">
        <f t="shared" si="70"/>
        <v>603.56030804003967</v>
      </c>
      <c r="Q39" s="1">
        <f>SUM(B39:P39)</f>
        <v>8174.2475107093987</v>
      </c>
    </row>
    <row r="40" spans="1:17" s="1" customFormat="1" x14ac:dyDescent="0.25">
      <c r="A40" s="1" t="s">
        <v>30</v>
      </c>
      <c r="B40" s="1">
        <v>400</v>
      </c>
      <c r="C40" s="1">
        <f t="shared" ref="C40" si="71">B40*1.05</f>
        <v>420</v>
      </c>
      <c r="D40" s="1">
        <f t="shared" ref="D40" si="72">C40*1.05</f>
        <v>441</v>
      </c>
      <c r="E40" s="1">
        <f t="shared" ref="E40" si="73">D40*1.05</f>
        <v>463.05</v>
      </c>
      <c r="F40" s="1">
        <f t="shared" ref="F40" si="74">E40*1.05</f>
        <v>486.20250000000004</v>
      </c>
      <c r="G40" s="1">
        <f t="shared" ref="G40" si="75">F40*1.05</f>
        <v>510.51262500000007</v>
      </c>
      <c r="H40" s="1">
        <f t="shared" ref="H40" si="76">G40*1.05</f>
        <v>536.03825625000013</v>
      </c>
      <c r="I40" s="1">
        <f t="shared" ref="I40" si="77">H40*1.05</f>
        <v>562.84016906250019</v>
      </c>
      <c r="J40" s="1">
        <f t="shared" ref="J40" si="78">I40*1.05</f>
        <v>590.98217751562527</v>
      </c>
      <c r="K40" s="1">
        <f t="shared" ref="K40" si="79">J40*1.05</f>
        <v>620.53128639140652</v>
      </c>
      <c r="L40" s="1">
        <f t="shared" ref="L40" si="80">K40*1.05</f>
        <v>651.55785071097682</v>
      </c>
      <c r="M40" s="1">
        <f t="shared" ref="M40" si="81">L40*1.05</f>
        <v>684.13574324652575</v>
      </c>
      <c r="N40" s="1">
        <f t="shared" ref="N40" si="82">M40*1.05</f>
        <v>718.3425304088521</v>
      </c>
      <c r="O40" s="1">
        <f t="shared" ref="O40" si="83">N40*1.05</f>
        <v>754.25965692929469</v>
      </c>
      <c r="P40" s="1">
        <f t="shared" ref="P40" si="84">O40*1.05</f>
        <v>791.97263977575949</v>
      </c>
      <c r="Q40" s="1">
        <f>SUM(B40:P40)</f>
        <v>8631.4254352909411</v>
      </c>
    </row>
    <row r="41" spans="1:17" s="1" customFormat="1" x14ac:dyDescent="0.25">
      <c r="A41" s="1" t="s">
        <v>15</v>
      </c>
      <c r="B41" s="1">
        <f>B34-B35-B37-B38-B39-B40-B36</f>
        <v>-970</v>
      </c>
      <c r="C41" s="1">
        <f t="shared" ref="C41:P41" si="85">C34-C35-C37-C38-C39-C40-C36</f>
        <v>-901.35000000000082</v>
      </c>
      <c r="D41" s="1">
        <f t="shared" si="85"/>
        <v>-832.37025000000176</v>
      </c>
      <c r="E41" s="1">
        <f t="shared" si="85"/>
        <v>-763.09080375000258</v>
      </c>
      <c r="F41" s="1">
        <f t="shared" si="85"/>
        <v>-693.54391580625315</v>
      </c>
      <c r="G41" s="1">
        <f t="shared" si="85"/>
        <v>-623.76416204334794</v>
      </c>
      <c r="H41" s="1">
        <f t="shared" si="85"/>
        <v>-553.7885663489991</v>
      </c>
      <c r="I41" s="1">
        <f t="shared" si="85"/>
        <v>-483.65673381298461</v>
      </c>
      <c r="J41" s="1">
        <f t="shared" si="85"/>
        <v>-413.41099073736791</v>
      </c>
      <c r="K41" s="1">
        <f t="shared" si="85"/>
        <v>-343.0965318114753</v>
      </c>
      <c r="L41" s="1">
        <f t="shared" si="85"/>
        <v>-272.76157481234782</v>
      </c>
      <c r="M41" s="1">
        <f t="shared" si="85"/>
        <v>-202.45752320941847</v>
      </c>
      <c r="N41" s="1">
        <f t="shared" si="85"/>
        <v>-132.23913707118822</v>
      </c>
      <c r="O41" s="1">
        <f t="shared" si="85"/>
        <v>-62.164712691567274</v>
      </c>
      <c r="P41" s="1">
        <f t="shared" si="85"/>
        <v>7.703728625533131</v>
      </c>
      <c r="Q41" s="1">
        <f>SUM(B41:P41)</f>
        <v>-7239.9911734694215</v>
      </c>
    </row>
    <row r="42" spans="1:17" s="1" customFormat="1" x14ac:dyDescent="0.25">
      <c r="A42" s="1" t="s">
        <v>16</v>
      </c>
      <c r="B42" s="1">
        <f>B39*0.5+130</f>
        <v>375</v>
      </c>
      <c r="C42" s="1">
        <f>C39*0.5+130</f>
        <v>378.67499999999995</v>
      </c>
      <c r="D42" s="1">
        <f>D39*0.5+130</f>
        <v>382.405125</v>
      </c>
      <c r="E42" s="1">
        <f>E39*0.5+130</f>
        <v>386.19120187499993</v>
      </c>
      <c r="F42" s="1">
        <f>F39*0.5+130</f>
        <v>390.03406990312493</v>
      </c>
      <c r="G42" s="1">
        <f>G39*0.5+130</f>
        <v>393.93458095167176</v>
      </c>
      <c r="H42" s="1">
        <f>H39*0.5+130</f>
        <v>397.89359966594679</v>
      </c>
      <c r="I42" s="1">
        <f>I39*0.5+130</f>
        <v>401.91200366093597</v>
      </c>
      <c r="J42" s="1">
        <f>J39*0.5+130</f>
        <v>405.99068371584997</v>
      </c>
      <c r="K42" s="1">
        <f>K39*0.5+130</f>
        <v>410.13054397158771</v>
      </c>
      <c r="L42" s="1">
        <f>L39*0.5+130</f>
        <v>414.3325021311615</v>
      </c>
      <c r="M42" s="1">
        <f>M39*0.5+130</f>
        <v>418.5974896631289</v>
      </c>
      <c r="N42" s="1">
        <f>N39*0.5+130</f>
        <v>422.92645200807578</v>
      </c>
      <c r="O42" s="1">
        <f>O39*0.5+130</f>
        <v>427.3203487881969</v>
      </c>
      <c r="P42" s="1">
        <f>P39*0.5+130</f>
        <v>431.78015402001984</v>
      </c>
      <c r="Q42" s="1">
        <f>SUM(B42:P42)</f>
        <v>6037.1237553546998</v>
      </c>
    </row>
    <row r="43" spans="1:17" s="1" customFormat="1" x14ac:dyDescent="0.25">
      <c r="A43" s="1" t="s">
        <v>17</v>
      </c>
      <c r="B43" s="1">
        <f>B42+B41</f>
        <v>-595</v>
      </c>
      <c r="C43" s="1">
        <f t="shared" ref="B43:P43" si="86">C42+C41</f>
        <v>-522.67500000000086</v>
      </c>
      <c r="D43" s="1">
        <f t="shared" si="86"/>
        <v>-449.96512500000176</v>
      </c>
      <c r="E43" s="1">
        <f t="shared" si="86"/>
        <v>-376.89960187500265</v>
      </c>
      <c r="F43" s="1">
        <f t="shared" si="86"/>
        <v>-303.50984590312822</v>
      </c>
      <c r="G43" s="1">
        <f t="shared" si="86"/>
        <v>-229.82958109167618</v>
      </c>
      <c r="H43" s="1">
        <f t="shared" si="86"/>
        <v>-155.8949666830523</v>
      </c>
      <c r="I43" s="1">
        <f t="shared" si="86"/>
        <v>-81.744730152048646</v>
      </c>
      <c r="J43" s="1">
        <f t="shared" si="86"/>
        <v>-7.4203070215179423</v>
      </c>
      <c r="K43" s="1">
        <f t="shared" si="86"/>
        <v>67.034012160112411</v>
      </c>
      <c r="L43" s="1">
        <f t="shared" si="86"/>
        <v>141.57092731881369</v>
      </c>
      <c r="M43" s="1">
        <f t="shared" si="86"/>
        <v>216.13996645371043</v>
      </c>
      <c r="N43" s="1">
        <f t="shared" si="86"/>
        <v>290.68731493688756</v>
      </c>
      <c r="O43" s="1">
        <f t="shared" si="86"/>
        <v>365.15563609662962</v>
      </c>
      <c r="P43" s="1">
        <f t="shared" si="86"/>
        <v>439.48388264555297</v>
      </c>
      <c r="Q43" s="1">
        <f>SUM(B43:P43)</f>
        <v>-1202.8674181147221</v>
      </c>
    </row>
    <row r="44" spans="1:17" s="1" customFormat="1" x14ac:dyDescent="0.25">
      <c r="A44" s="1" t="s">
        <v>22</v>
      </c>
      <c r="B44" s="1">
        <f>B33+B43</f>
        <v>10100.52</v>
      </c>
      <c r="C44" s="1">
        <f>B44+C33+C34-C35-C38-C39-C40+C42</f>
        <v>20518.3678</v>
      </c>
      <c r="D44" s="1">
        <f>C44+D33+D34-D35-D38-D39-D40+D42</f>
        <v>31257.153316999997</v>
      </c>
      <c r="E44" s="1">
        <f>D44+E33+E34-E35-E38-E39-E40+E42</f>
        <v>42320.492116754984</v>
      </c>
      <c r="F44" s="1">
        <f>E44+F33+F34-F35-F38-F39-F40+F42</f>
        <v>53712.003343506287</v>
      </c>
      <c r="G44" s="1">
        <f>F44+G33+G34-G35-G38-G39-G40+G42</f>
        <v>65435.307519008864</v>
      </c>
      <c r="H44" s="1">
        <f>G44+H33+H34-H35-H38-H39-H40+H42</f>
        <v>77494.024204154455</v>
      </c>
      <c r="I44" s="1">
        <f>H44+I33+I34-I35-I38-I39-I40+I42</f>
        <v>89891.769516160566</v>
      </c>
      <c r="J44" s="1">
        <f>I44+J33+J34-J35-J38-J39-J40+J42</f>
        <v>102632.15349394821</v>
      </c>
      <c r="K44" s="1">
        <f>J44+K33+K34-K35-K38-K39-K40+K42</f>
        <v>115718.7773039688</v>
      </c>
      <c r="L44" s="1">
        <f>K44+L33+L34-L35-L38-L39-L40+L42</f>
        <v>129155.23027835858</v>
      </c>
      <c r="M44" s="1">
        <f>L44+M33+M34-M35-M38-M39-M40+M42</f>
        <v>142945.08677689914</v>
      </c>
      <c r="N44" s="1">
        <f>M44+N33+N34-N35-N38-N39-N40+N42</f>
        <v>157091.90286384331</v>
      </c>
      <c r="O44" s="1">
        <f>N44+O33+O34-O35-O38-O39-O40+O42</f>
        <v>171599.21279022464</v>
      </c>
      <c r="P44" s="1">
        <f>O44+P33+P34-P35-P38-P39-P40+P42</f>
        <v>186470.52527180742</v>
      </c>
      <c r="Q44" s="3"/>
    </row>
    <row r="45" spans="1:17" s="1" customFormat="1" x14ac:dyDescent="0.25">
      <c r="A45" s="1" t="s">
        <v>18</v>
      </c>
      <c r="B45" s="4">
        <v>83103.11</v>
      </c>
      <c r="C45" s="4">
        <v>80091.199999999997</v>
      </c>
      <c r="D45" s="4">
        <v>76959.7</v>
      </c>
      <c r="E45" s="4">
        <v>73703.87</v>
      </c>
      <c r="F45" s="4">
        <v>70318.77</v>
      </c>
      <c r="G45" s="4">
        <v>66799.259999999995</v>
      </c>
      <c r="H45" s="1">
        <v>63140.01</v>
      </c>
      <c r="I45" s="1">
        <v>59335.47</v>
      </c>
      <c r="J45" s="1">
        <v>55379.87</v>
      </c>
      <c r="K45" s="1">
        <v>51267.22</v>
      </c>
      <c r="L45" s="1">
        <v>46991.27</v>
      </c>
      <c r="M45" s="1">
        <v>42545.55</v>
      </c>
      <c r="N45" s="1">
        <v>37923.32</v>
      </c>
      <c r="O45" s="1">
        <v>33117.56</v>
      </c>
      <c r="P45" s="1">
        <v>28120.98</v>
      </c>
      <c r="Q45" s="1">
        <v>0</v>
      </c>
    </row>
    <row r="46" spans="1:17" s="1" customFormat="1" x14ac:dyDescent="0.25">
      <c r="A46" s="1" t="s">
        <v>19</v>
      </c>
      <c r="B46" s="3"/>
      <c r="C46" s="3"/>
      <c r="D46" s="3"/>
      <c r="E46" s="3"/>
      <c r="F46" s="3"/>
      <c r="G46" s="1" t="s">
        <v>28</v>
      </c>
      <c r="H46" s="1" t="s">
        <v>29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  <c r="N46" s="1" t="s">
        <v>20</v>
      </c>
      <c r="O46" s="1" t="s">
        <v>20</v>
      </c>
      <c r="P46" s="1" t="s">
        <v>20</v>
      </c>
      <c r="Q46" s="3"/>
    </row>
    <row r="47" spans="1:17" x14ac:dyDescent="0.25">
      <c r="A47" s="9" t="s">
        <v>23</v>
      </c>
      <c r="B47" s="5"/>
      <c r="C47" s="5"/>
      <c r="D47" s="5"/>
      <c r="E47" s="5"/>
      <c r="F47" s="5"/>
      <c r="G47" s="6">
        <f>G44-G45-(G45*0.037)</f>
        <v>-3835.5251009911303</v>
      </c>
      <c r="H47" s="6">
        <f t="shared" ref="H47" si="87">G47+H34+H42-H37-H38-H39-H40</f>
        <v>2488.5799323258179</v>
      </c>
      <c r="I47" s="6">
        <f t="shared" ref="I47" si="88">H47+I34+I42-I37-I38-I39-I40</f>
        <v>8886.8352021737719</v>
      </c>
      <c r="J47" s="6">
        <f t="shared" ref="J47" si="89">I47+J34+J42-J37-J38-J39-J40</f>
        <v>15359.414895152255</v>
      </c>
      <c r="K47" s="6">
        <f t="shared" ref="K47" si="90">J47+K34+K42-K37-K38-K39-K40</f>
        <v>21906.448907312366</v>
      </c>
      <c r="L47" s="6">
        <f t="shared" ref="L47" si="91">K47+L34+L42-L37-L38-L39-L40</f>
        <v>28528.019834631177</v>
      </c>
      <c r="M47" s="6">
        <f t="shared" ref="M47" si="92">L47+M34+M42-M37-M38-M39-M40</f>
        <v>35224.15980108489</v>
      </c>
      <c r="N47" s="6">
        <f t="shared" ref="N47" si="93">M47+N34+N42-N37-N38-N39-N40</f>
        <v>41994.847116021774</v>
      </c>
      <c r="O47" s="6">
        <f t="shared" ref="O47" si="94">N47+O34+O42-O37-O38-O39-O40</f>
        <v>48840.002752118402</v>
      </c>
      <c r="P47" s="6">
        <f t="shared" ref="P47" si="95">O47+P34+P42-P37-P38-P39-P40</f>
        <v>55759.486634763947</v>
      </c>
      <c r="Q47" s="5"/>
    </row>
    <row r="48" spans="1:17" x14ac:dyDescent="0.25">
      <c r="A48" s="9"/>
      <c r="B48" s="5"/>
      <c r="C48" s="5"/>
      <c r="D48" s="5"/>
      <c r="E48" s="5"/>
      <c r="F48" s="5"/>
      <c r="G48" s="5"/>
      <c r="H48" s="6">
        <f>H44-H45-(H45*0.037)</f>
        <v>12017.833834154453</v>
      </c>
      <c r="I48" s="6">
        <f t="shared" ref="I48" si="96">H48+I34+I42-I37-I38-I39-I40</f>
        <v>18416.089104002403</v>
      </c>
      <c r="J48" s="6">
        <f t="shared" ref="J48" si="97">I48+J34+J42-J37-J38-J39-J40</f>
        <v>24888.668796980885</v>
      </c>
      <c r="K48" s="6">
        <f t="shared" ref="K48" si="98">J48+K34+K42-K37-K38-K39-K40</f>
        <v>31435.702809140999</v>
      </c>
      <c r="L48" s="6">
        <f t="shared" ref="L48" si="99">K48+L34+L42-L37-L38-L39-L40</f>
        <v>38057.273736459814</v>
      </c>
      <c r="M48" s="6">
        <f t="shared" ref="M48" si="100">L48+M34+M42-M37-M38-M39-M40</f>
        <v>44753.413702913531</v>
      </c>
      <c r="N48" s="6">
        <f t="shared" ref="N48" si="101">M48+N34+N42-N37-N38-N39-N40</f>
        <v>51524.101017850415</v>
      </c>
      <c r="O48" s="6">
        <f t="shared" ref="O48" si="102">N48+O34+O42-O37-O38-O39-O40</f>
        <v>58369.256653947043</v>
      </c>
      <c r="P48" s="6">
        <f t="shared" ref="P48" si="103">O48+P34+P42-P37-P38-P39-P40</f>
        <v>65288.740536592595</v>
      </c>
      <c r="Q48" s="5"/>
    </row>
    <row r="49" spans="1:17" x14ac:dyDescent="0.25">
      <c r="A49" s="9"/>
      <c r="B49" s="5"/>
      <c r="C49" s="5"/>
      <c r="D49" s="5"/>
      <c r="E49" s="5"/>
      <c r="F49" s="5"/>
      <c r="G49" s="5"/>
      <c r="H49" s="5"/>
      <c r="I49" s="6">
        <f>I44-I45-(I45*0.037)</f>
        <v>28360.887126160564</v>
      </c>
      <c r="J49" s="6">
        <f t="shared" ref="J49" si="104">I49+J34+J42-J37-J38-J39-J40</f>
        <v>34833.466819139052</v>
      </c>
      <c r="K49" s="6">
        <f t="shared" ref="K49" si="105">J49+K34+K42-K37-K38-K39-K40</f>
        <v>41380.500831299163</v>
      </c>
      <c r="L49" s="6">
        <f t="shared" ref="L49" si="106">K49+L34+L42-L37-L38-L39-L40</f>
        <v>48002.071758617982</v>
      </c>
      <c r="M49" s="6">
        <f t="shared" ref="M49" si="107">L49+M34+M42-M37-M38-M39-M40</f>
        <v>54698.211725071698</v>
      </c>
      <c r="N49" s="6">
        <f t="shared" ref="N49" si="108">M49+N34+N42-N37-N38-N39-N40</f>
        <v>61468.899040008582</v>
      </c>
      <c r="O49" s="6">
        <f t="shared" ref="O49" si="109">N49+O34+O42-O37-O38-O39-O40</f>
        <v>68314.05467610521</v>
      </c>
      <c r="P49" s="6">
        <f t="shared" ref="P49" si="110">O49+P34+P42-P37-P38-P39-P40</f>
        <v>75233.538558750748</v>
      </c>
      <c r="Q49" s="5"/>
    </row>
    <row r="50" spans="1:17" x14ac:dyDescent="0.25">
      <c r="A50" s="9"/>
      <c r="B50" s="5"/>
      <c r="C50" s="5"/>
      <c r="D50" s="5"/>
      <c r="E50" s="5"/>
      <c r="F50" s="5"/>
      <c r="G50" s="5"/>
      <c r="H50" s="5"/>
      <c r="I50" s="5"/>
      <c r="J50" s="6">
        <f>J44-J45-(J45*0.037)</f>
        <v>45203.228303948206</v>
      </c>
      <c r="K50" s="6">
        <f t="shared" ref="K50" si="111">J50+K34+K42-K37-K38-K39-K40</f>
        <v>51750.262316108317</v>
      </c>
      <c r="L50" s="6">
        <f t="shared" ref="L50" si="112">K50+L34+L42-L37-L38-L39-L40</f>
        <v>58371.833243427136</v>
      </c>
      <c r="M50" s="6">
        <f t="shared" ref="M50" si="113">L50+M34+M42-M37-M38-M39-M40</f>
        <v>65067.973209880838</v>
      </c>
      <c r="N50" s="6">
        <f t="shared" ref="N50" si="114">M50+N34+N42-N37-N38-N39-N40</f>
        <v>71838.660524817737</v>
      </c>
      <c r="O50" s="6">
        <f t="shared" ref="O50" si="115">N50+O34+O42-O37-O38-O39-O40</f>
        <v>78683.816160914372</v>
      </c>
      <c r="P50" s="6">
        <f t="shared" ref="P50" si="116">O50+P34+P42-P37-P38-P39-P40</f>
        <v>85603.30004355991</v>
      </c>
      <c r="Q50" s="5"/>
    </row>
    <row r="51" spans="1:17" x14ac:dyDescent="0.25">
      <c r="A51" s="9"/>
      <c r="B51" s="5"/>
      <c r="C51" s="5"/>
      <c r="D51" s="5"/>
      <c r="E51" s="5"/>
      <c r="F51" s="5"/>
      <c r="G51" s="5"/>
      <c r="H51" s="5"/>
      <c r="I51" s="5"/>
      <c r="J51" s="5"/>
      <c r="K51" s="6">
        <f>K44-K45-(K45*0.037)</f>
        <v>62554.670163968804</v>
      </c>
      <c r="L51" s="6">
        <f>K51+L34+L42-L37-L38-L39-L40</f>
        <v>69176.241091287622</v>
      </c>
      <c r="M51" s="6">
        <f>L51+M34+M42-M37-M38-M39-M40</f>
        <v>75872.381057741324</v>
      </c>
      <c r="N51" s="6">
        <f>M51+N34+N42-N37-N38-N39-N40</f>
        <v>82643.068372678215</v>
      </c>
      <c r="O51" s="6">
        <f>N51+O34+O42-O37-O38-O39-O40</f>
        <v>89488.224008774851</v>
      </c>
      <c r="P51" s="6">
        <f>O51+P34+P42-P37-P38-P39-P40</f>
        <v>96407.707891420388</v>
      </c>
      <c r="Q51" s="5"/>
    </row>
    <row r="52" spans="1:17" x14ac:dyDescent="0.25">
      <c r="A52" s="9"/>
      <c r="B52" s="5"/>
      <c r="C52" s="5"/>
      <c r="D52" s="5"/>
      <c r="E52" s="5"/>
      <c r="F52" s="5"/>
      <c r="G52" s="5"/>
      <c r="H52" s="5"/>
      <c r="I52" s="5"/>
      <c r="J52" s="5"/>
      <c r="K52" s="5"/>
      <c r="L52" s="6">
        <f>L44-L45-(L45*0.037)</f>
        <v>80425.28328835858</v>
      </c>
      <c r="M52" s="6">
        <f>L52+M34+M42-M37-M38-M39-M40</f>
        <v>87121.423254812282</v>
      </c>
      <c r="N52" s="6">
        <f>M52+N34+N42-N37-N38-N39-N40</f>
        <v>93892.110569749173</v>
      </c>
      <c r="O52" s="6">
        <f>N52+O34+O42-O37-O38-O39-O40</f>
        <v>100737.26620584581</v>
      </c>
      <c r="P52" s="6">
        <f>O52+P34+P42-P37-P38-P39-P40</f>
        <v>107656.75008849135</v>
      </c>
      <c r="Q52" s="5"/>
    </row>
    <row r="53" spans="1:17" x14ac:dyDescent="0.25">
      <c r="A53" s="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6">
        <f>M44-M45-(M45*0.037)</f>
        <v>98825.351426899142</v>
      </c>
      <c r="N53" s="6">
        <f>M53+N34+N42-N37-N38-N39-N40</f>
        <v>105596.03874183603</v>
      </c>
      <c r="O53" s="6">
        <f>N53+O34+O42-O37-O38-O39-O40</f>
        <v>112441.19437793267</v>
      </c>
      <c r="P53" s="6">
        <f>O53+P34+P42-P37-P38-P39-P40</f>
        <v>119360.67826057821</v>
      </c>
      <c r="Q53" s="5"/>
    </row>
    <row r="54" spans="1:17" x14ac:dyDescent="0.25">
      <c r="A54" s="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6">
        <f>N44-N45-(N45*0.037)</f>
        <v>117765.4200238433</v>
      </c>
      <c r="O54" s="6">
        <f>N54+O34+O42-O37-O38-O39-O40</f>
        <v>124610.57565993993</v>
      </c>
      <c r="P54" s="6">
        <f>O54+P34+P42-P37-P38-P39-P40</f>
        <v>131530.05954258551</v>
      </c>
      <c r="Q54" s="5"/>
    </row>
    <row r="55" spans="1:17" x14ac:dyDescent="0.25">
      <c r="A55" s="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6">
        <f>O44-O45-(O45*0.037)</f>
        <v>137256.30307022465</v>
      </c>
      <c r="P55" s="6">
        <f>O55+P34+P42-P37-P38-P39-P40</f>
        <v>144175.78695287023</v>
      </c>
      <c r="Q55" s="5"/>
    </row>
    <row r="56" spans="1:17" x14ac:dyDescent="0.25">
      <c r="A56" s="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6">
        <f>Q43</f>
        <v>-1202.8674181147221</v>
      </c>
    </row>
    <row r="58" spans="1:17" x14ac:dyDescent="0.25">
      <c r="A58" s="8" t="s">
        <v>27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x14ac:dyDescent="0.25">
      <c r="A59" s="8" t="s">
        <v>24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 s="1" customFormat="1" x14ac:dyDescent="0.25">
      <c r="A60" s="1" t="s">
        <v>1</v>
      </c>
      <c r="B60" s="2">
        <v>1</v>
      </c>
      <c r="C60" s="2">
        <v>2</v>
      </c>
      <c r="D60" s="2">
        <v>3</v>
      </c>
      <c r="E60" s="2">
        <v>4</v>
      </c>
      <c r="F60" s="2">
        <v>5</v>
      </c>
      <c r="G60" s="2">
        <v>6</v>
      </c>
      <c r="H60" s="2">
        <v>7</v>
      </c>
      <c r="I60" s="2">
        <v>8</v>
      </c>
      <c r="J60" s="2">
        <v>9</v>
      </c>
      <c r="K60" s="2">
        <v>10</v>
      </c>
      <c r="L60" s="2" t="s">
        <v>2</v>
      </c>
      <c r="M60" s="2" t="s">
        <v>3</v>
      </c>
      <c r="N60" s="2" t="s">
        <v>4</v>
      </c>
      <c r="O60" s="2" t="s">
        <v>5</v>
      </c>
      <c r="P60" s="2" t="s">
        <v>6</v>
      </c>
      <c r="Q60" s="1" t="s">
        <v>7</v>
      </c>
    </row>
    <row r="61" spans="1:17" x14ac:dyDescent="0.25">
      <c r="A61" s="8" t="s">
        <v>21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1:17" x14ac:dyDescent="0.25">
      <c r="A62" s="7" t="s">
        <v>25</v>
      </c>
      <c r="B62" s="10">
        <f>B33</f>
        <v>10695.52</v>
      </c>
      <c r="C62" s="10">
        <f>C33</f>
        <v>10940.522799999999</v>
      </c>
      <c r="D62" s="10">
        <f>D33</f>
        <v>11188.750641999995</v>
      </c>
      <c r="E62" s="10">
        <f>E33</f>
        <v>11440.238401629993</v>
      </c>
      <c r="F62" s="10">
        <f>F33</f>
        <v>11695.021072654443</v>
      </c>
      <c r="G62" s="10">
        <f>G33</f>
        <v>11953.133756594256</v>
      </c>
      <c r="H62" s="10">
        <f>H33</f>
        <v>12214.611651828665</v>
      </c>
      <c r="I62" s="10">
        <f>I33</f>
        <v>12479.490042158159</v>
      </c>
      <c r="J62" s="10">
        <f>J33</f>
        <v>12747.804284809155</v>
      </c>
      <c r="K62" s="10">
        <f>K33</f>
        <v>13019.589797860477</v>
      </c>
      <c r="L62" s="10">
        <f>L33</f>
        <v>13294.882047070943</v>
      </c>
      <c r="M62" s="10">
        <f>M33</f>
        <v>13573.716532086844</v>
      </c>
      <c r="N62" s="10">
        <f>N33</f>
        <v>13856.128772007276</v>
      </c>
      <c r="O62" s="10">
        <f>O33</f>
        <v>14142.15429028469</v>
      </c>
      <c r="P62" s="10">
        <f>P33</f>
        <v>14431.828598937183</v>
      </c>
      <c r="Q62" s="7"/>
    </row>
    <row r="63" spans="1:17" s="1" customFormat="1" x14ac:dyDescent="0.25">
      <c r="A63" s="1" t="s">
        <v>8</v>
      </c>
      <c r="B63" s="1">
        <f>(600*12)+(0*12)</f>
        <v>7200</v>
      </c>
      <c r="C63" s="1">
        <f>((600*1.015)+600)*12</f>
        <v>14508</v>
      </c>
      <c r="D63" s="1">
        <f t="shared" ref="D63" si="117">C63*1.015</f>
        <v>14725.619999999999</v>
      </c>
      <c r="E63" s="1">
        <f t="shared" ref="E63" si="118">D63*1.015</f>
        <v>14946.504299999997</v>
      </c>
      <c r="F63" s="1">
        <f t="shared" ref="F63" si="119">E63*1.015</f>
        <v>15170.701864499995</v>
      </c>
      <c r="G63" s="1">
        <f t="shared" ref="G63" si="120">F63*1.015</f>
        <v>15398.262392467494</v>
      </c>
      <c r="H63" s="1">
        <f t="shared" ref="H63" si="121">G63*1.015</f>
        <v>15629.236328354504</v>
      </c>
      <c r="I63" s="1">
        <f t="shared" ref="I63" si="122">H63*1.015</f>
        <v>15863.674873279821</v>
      </c>
      <c r="J63" s="1">
        <f t="shared" ref="J63" si="123">I63*1.015</f>
        <v>16101.629996379017</v>
      </c>
      <c r="K63" s="1">
        <f t="shared" ref="K63" si="124">J63*1.015</f>
        <v>16343.154446324701</v>
      </c>
      <c r="L63" s="1">
        <f t="shared" ref="L63" si="125">K63*1.015</f>
        <v>16588.301763019568</v>
      </c>
      <c r="M63" s="1">
        <f t="shared" ref="M63" si="126">L63*1.015</f>
        <v>16837.126289464861</v>
      </c>
      <c r="N63" s="1">
        <f t="shared" ref="N63" si="127">M63*1.015</f>
        <v>17089.683183806832</v>
      </c>
      <c r="O63" s="1">
        <f t="shared" ref="O63" si="128">N63*1.015</f>
        <v>17346.028431563933</v>
      </c>
      <c r="P63" s="1">
        <f t="shared" ref="P63" si="129">O63*1.015</f>
        <v>17606.218858037391</v>
      </c>
      <c r="Q63" s="1">
        <f t="shared" ref="Q63:Q72" si="130">SUM(B63:P63)</f>
        <v>231354.14272719814</v>
      </c>
    </row>
    <row r="64" spans="1:17" s="1" customFormat="1" x14ac:dyDescent="0.25">
      <c r="A64" s="1" t="s">
        <v>9</v>
      </c>
      <c r="B64" s="1">
        <f>(540*12)+(450*12)</f>
        <v>11880</v>
      </c>
      <c r="C64" s="1">
        <f t="shared" ref="C64" si="131">B64</f>
        <v>11880</v>
      </c>
      <c r="D64" s="1">
        <f t="shared" ref="D64" si="132">C64</f>
        <v>11880</v>
      </c>
      <c r="E64" s="1">
        <f t="shared" ref="E64" si="133">D64</f>
        <v>11880</v>
      </c>
      <c r="F64" s="1">
        <f t="shared" ref="F64" si="134">E64</f>
        <v>11880</v>
      </c>
      <c r="G64" s="1">
        <f t="shared" ref="G64" si="135">F64</f>
        <v>11880</v>
      </c>
      <c r="H64" s="1">
        <f t="shared" ref="H64" si="136">G64</f>
        <v>11880</v>
      </c>
      <c r="I64" s="1">
        <f t="shared" ref="I64" si="137">H64</f>
        <v>11880</v>
      </c>
      <c r="J64" s="1">
        <f t="shared" ref="J64" si="138">I64</f>
        <v>11880</v>
      </c>
      <c r="K64" s="1">
        <f t="shared" ref="K64" si="139">J64</f>
        <v>11880</v>
      </c>
      <c r="L64" s="1">
        <f t="shared" ref="L64" si="140">K64</f>
        <v>11880</v>
      </c>
      <c r="M64" s="1">
        <f t="shared" ref="M64" si="141">L64</f>
        <v>11880</v>
      </c>
      <c r="N64" s="1">
        <f t="shared" ref="N64" si="142">M64</f>
        <v>11880</v>
      </c>
      <c r="O64" s="1">
        <f t="shared" ref="O64" si="143">N64</f>
        <v>11880</v>
      </c>
      <c r="P64" s="1">
        <f t="shared" ref="P64" si="144">O64</f>
        <v>11880</v>
      </c>
      <c r="Q64" s="1">
        <f t="shared" si="130"/>
        <v>178200</v>
      </c>
    </row>
    <row r="65" spans="1:17" s="1" customFormat="1" x14ac:dyDescent="0.25">
      <c r="A65" s="1" t="s">
        <v>10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f t="shared" si="130"/>
        <v>0</v>
      </c>
    </row>
    <row r="66" spans="1:17" s="1" customFormat="1" x14ac:dyDescent="0.25">
      <c r="A66" s="1" t="s">
        <v>11</v>
      </c>
      <c r="B66" s="1">
        <v>0</v>
      </c>
      <c r="C66" s="1">
        <f t="shared" ref="C66" si="145">B66*1.03</f>
        <v>0</v>
      </c>
      <c r="D66" s="1">
        <f t="shared" ref="D66" si="146">C66*1.03</f>
        <v>0</v>
      </c>
      <c r="E66" s="1">
        <f t="shared" ref="E66" si="147">D66*1.03</f>
        <v>0</v>
      </c>
      <c r="F66" s="1">
        <f t="shared" ref="F66" si="148">E66*1.03</f>
        <v>0</v>
      </c>
      <c r="G66" s="1">
        <f t="shared" ref="G66" si="149">F66*1.03</f>
        <v>0</v>
      </c>
      <c r="H66" s="1">
        <f t="shared" ref="H66" si="150">G66*1.03</f>
        <v>0</v>
      </c>
      <c r="I66" s="1">
        <f t="shared" ref="I66" si="151">H66*1.03</f>
        <v>0</v>
      </c>
      <c r="J66" s="1">
        <f t="shared" ref="J66" si="152">I66*1.03</f>
        <v>0</v>
      </c>
      <c r="K66" s="1">
        <f t="shared" ref="K66" si="153">J66*1.03</f>
        <v>0</v>
      </c>
      <c r="L66" s="1">
        <f t="shared" ref="L66" si="154">K66*1.03</f>
        <v>0</v>
      </c>
      <c r="M66" s="1">
        <f t="shared" ref="M66" si="155">L66*1.03</f>
        <v>0</v>
      </c>
      <c r="N66" s="1">
        <f t="shared" ref="N66" si="156">M66*1.03</f>
        <v>0</v>
      </c>
      <c r="O66" s="1">
        <f t="shared" ref="O66" si="157">N66*1.03</f>
        <v>0</v>
      </c>
      <c r="P66" s="1">
        <f t="shared" ref="P66" si="158">O66*1.03</f>
        <v>0</v>
      </c>
      <c r="Q66" s="1">
        <f t="shared" si="130"/>
        <v>0</v>
      </c>
    </row>
    <row r="67" spans="1:17" s="1" customFormat="1" x14ac:dyDescent="0.25">
      <c r="A67" s="1" t="s">
        <v>12</v>
      </c>
      <c r="B67" s="1">
        <v>1600</v>
      </c>
      <c r="C67" s="1">
        <f t="shared" ref="C67:C68" si="159">B67*1.015</f>
        <v>1623.9999999999998</v>
      </c>
      <c r="D67" s="1">
        <f t="shared" ref="D67:D68" si="160">C67*1.015</f>
        <v>1648.3599999999997</v>
      </c>
      <c r="E67" s="1">
        <f t="shared" ref="E67:E68" si="161">D67*1.015</f>
        <v>1673.0853999999995</v>
      </c>
      <c r="F67" s="1">
        <f t="shared" ref="F67:F68" si="162">E67*1.015</f>
        <v>1698.1816809999993</v>
      </c>
      <c r="G67" s="1">
        <f t="shared" ref="G67:G68" si="163">F67*1.015</f>
        <v>1723.6544062149992</v>
      </c>
      <c r="H67" s="1">
        <f t="shared" ref="H67:H68" si="164">G67*1.015</f>
        <v>1749.509222308224</v>
      </c>
      <c r="I67" s="1">
        <f t="shared" ref="I67:I68" si="165">H67*1.015</f>
        <v>1775.7518606428473</v>
      </c>
      <c r="J67" s="1">
        <f t="shared" ref="J67:J68" si="166">I67*1.015</f>
        <v>1802.3881385524899</v>
      </c>
      <c r="K67" s="1">
        <f t="shared" ref="K67:K68" si="167">J67*1.015</f>
        <v>1829.4239606307769</v>
      </c>
      <c r="L67" s="1">
        <f t="shared" ref="L67:L68" si="168">K67*1.015</f>
        <v>1856.8653200402384</v>
      </c>
      <c r="M67" s="1">
        <f t="shared" ref="M67:M68" si="169">L67*1.015</f>
        <v>1884.7182998408418</v>
      </c>
      <c r="N67" s="1">
        <f t="shared" ref="N67:N68" si="170">M67*1.015</f>
        <v>1912.9890743384542</v>
      </c>
      <c r="O67" s="1">
        <f t="shared" ref="O67:O68" si="171">N67*1.015</f>
        <v>1941.6839104535309</v>
      </c>
      <c r="P67" s="1">
        <f t="shared" ref="P67:P68" si="172">O67*1.015</f>
        <v>1970.8091691103336</v>
      </c>
      <c r="Q67" s="1">
        <f t="shared" si="130"/>
        <v>26691.420443132734</v>
      </c>
    </row>
    <row r="68" spans="1:17" s="1" customFormat="1" x14ac:dyDescent="0.25">
      <c r="A68" s="1" t="s">
        <v>13</v>
      </c>
      <c r="B68" s="1">
        <f>(60*12)+260</f>
        <v>980</v>
      </c>
      <c r="C68" s="1">
        <f t="shared" si="159"/>
        <v>994.69999999999993</v>
      </c>
      <c r="D68" s="1">
        <f t="shared" si="160"/>
        <v>1009.6204999999999</v>
      </c>
      <c r="E68" s="1">
        <f t="shared" si="161"/>
        <v>1024.7648074999997</v>
      </c>
      <c r="F68" s="1">
        <f t="shared" si="162"/>
        <v>1040.1362796124997</v>
      </c>
      <c r="G68" s="1">
        <f t="shared" si="163"/>
        <v>1055.738323806687</v>
      </c>
      <c r="H68" s="1">
        <f t="shared" si="164"/>
        <v>1071.5743986637872</v>
      </c>
      <c r="I68" s="1">
        <f t="shared" si="165"/>
        <v>1087.6480146437439</v>
      </c>
      <c r="J68" s="1">
        <f t="shared" si="166"/>
        <v>1103.9627348633999</v>
      </c>
      <c r="K68" s="1">
        <f t="shared" si="167"/>
        <v>1120.5221758863509</v>
      </c>
      <c r="L68" s="1">
        <f t="shared" si="168"/>
        <v>1137.330008524646</v>
      </c>
      <c r="M68" s="1">
        <f t="shared" si="169"/>
        <v>1154.3899586525156</v>
      </c>
      <c r="N68" s="1">
        <f t="shared" si="170"/>
        <v>1171.7058080323031</v>
      </c>
      <c r="O68" s="1">
        <f t="shared" si="171"/>
        <v>1189.2813951527876</v>
      </c>
      <c r="P68" s="1">
        <f t="shared" si="172"/>
        <v>1207.1206160800793</v>
      </c>
      <c r="Q68" s="1">
        <f t="shared" si="130"/>
        <v>16348.495021418797</v>
      </c>
    </row>
    <row r="69" spans="1:17" s="1" customFormat="1" x14ac:dyDescent="0.25">
      <c r="A69" s="1" t="s">
        <v>30</v>
      </c>
      <c r="B69" s="1">
        <v>400</v>
      </c>
      <c r="C69" s="1">
        <f t="shared" ref="C69" si="173">B69*1.05</f>
        <v>420</v>
      </c>
      <c r="D69" s="1">
        <f t="shared" ref="D69" si="174">C69*1.05</f>
        <v>441</v>
      </c>
      <c r="E69" s="1">
        <f t="shared" ref="E69" si="175">D69*1.05</f>
        <v>463.05</v>
      </c>
      <c r="F69" s="1">
        <f t="shared" ref="F69" si="176">E69*1.05</f>
        <v>486.20250000000004</v>
      </c>
      <c r="G69" s="1">
        <f t="shared" ref="G69" si="177">F69*1.05</f>
        <v>510.51262500000007</v>
      </c>
      <c r="H69" s="1">
        <f t="shared" ref="H69" si="178">G69*1.05</f>
        <v>536.03825625000013</v>
      </c>
      <c r="I69" s="1">
        <f t="shared" ref="I69" si="179">H69*1.05</f>
        <v>562.84016906250019</v>
      </c>
      <c r="J69" s="1">
        <f t="shared" ref="J69" si="180">I69*1.05</f>
        <v>590.98217751562527</v>
      </c>
      <c r="K69" s="1">
        <f t="shared" ref="K69" si="181">J69*1.05</f>
        <v>620.53128639140652</v>
      </c>
      <c r="L69" s="1">
        <f t="shared" ref="L69" si="182">K69*1.05</f>
        <v>651.55785071097682</v>
      </c>
      <c r="M69" s="1">
        <f t="shared" ref="M69" si="183">L69*1.05</f>
        <v>684.13574324652575</v>
      </c>
      <c r="N69" s="1">
        <f t="shared" ref="N69" si="184">M69*1.05</f>
        <v>718.3425304088521</v>
      </c>
      <c r="O69" s="1">
        <f t="shared" ref="O69" si="185">N69*1.05</f>
        <v>754.25965692929469</v>
      </c>
      <c r="P69" s="1">
        <f t="shared" ref="P69" si="186">O69*1.05</f>
        <v>791.97263977575949</v>
      </c>
      <c r="Q69" s="1">
        <f t="shared" si="130"/>
        <v>8631.4254352909411</v>
      </c>
    </row>
    <row r="70" spans="1:17" s="1" customFormat="1" x14ac:dyDescent="0.25">
      <c r="A70" s="1" t="s">
        <v>15</v>
      </c>
      <c r="B70" s="1">
        <f>B63-B64-B66-B67-B68-B69-B65</f>
        <v>-7660</v>
      </c>
      <c r="C70" s="1">
        <f t="shared" ref="C70:Q70" si="187">C63-C64-C66-C67-C68-C69-C65</f>
        <v>-410.6999999999997</v>
      </c>
      <c r="D70" s="1">
        <f t="shared" si="187"/>
        <v>-253.36050000000057</v>
      </c>
      <c r="E70" s="1">
        <f t="shared" si="187"/>
        <v>-94.395907500002352</v>
      </c>
      <c r="F70" s="1">
        <f t="shared" si="187"/>
        <v>66.181403887496174</v>
      </c>
      <c r="G70" s="1">
        <f t="shared" si="187"/>
        <v>228.35703744580724</v>
      </c>
      <c r="H70" s="1">
        <f t="shared" si="187"/>
        <v>392.11445113249238</v>
      </c>
      <c r="I70" s="1">
        <f t="shared" si="187"/>
        <v>557.43482893072894</v>
      </c>
      <c r="J70" s="1">
        <f t="shared" si="187"/>
        <v>724.2969454475018</v>
      </c>
      <c r="K70" s="1">
        <f t="shared" si="187"/>
        <v>892.67702341616666</v>
      </c>
      <c r="L70" s="1">
        <f t="shared" si="187"/>
        <v>1062.5485837437068</v>
      </c>
      <c r="M70" s="1">
        <f t="shared" si="187"/>
        <v>1233.8822877249777</v>
      </c>
      <c r="N70" s="1">
        <f t="shared" si="187"/>
        <v>1406.6457710272227</v>
      </c>
      <c r="O70" s="1">
        <f t="shared" si="187"/>
        <v>1580.8034690283193</v>
      </c>
      <c r="P70" s="1">
        <f t="shared" si="187"/>
        <v>1756.3164330712189</v>
      </c>
      <c r="Q70" s="1">
        <f t="shared" si="130"/>
        <v>1482.8018273556374</v>
      </c>
    </row>
    <row r="71" spans="1:17" s="1" customFormat="1" x14ac:dyDescent="0.25">
      <c r="A71" s="1" t="s">
        <v>16</v>
      </c>
      <c r="B71" s="1">
        <f>B68*0.5+130</f>
        <v>620</v>
      </c>
      <c r="C71" s="1">
        <f>C68*0.5+130</f>
        <v>627.34999999999991</v>
      </c>
      <c r="D71" s="1">
        <f>D68*0.5+130</f>
        <v>634.81025</v>
      </c>
      <c r="E71" s="1">
        <f>E68*0.5+130</f>
        <v>642.38240374999987</v>
      </c>
      <c r="F71" s="1">
        <f>F68*0.5+130</f>
        <v>650.06813980624986</v>
      </c>
      <c r="G71" s="1">
        <f>G68*0.5+130</f>
        <v>657.86916190334352</v>
      </c>
      <c r="H71" s="1">
        <f>H68*0.5+130</f>
        <v>665.78719933189359</v>
      </c>
      <c r="I71" s="1">
        <f>I68*0.5+130</f>
        <v>673.82400732187193</v>
      </c>
      <c r="J71" s="1">
        <f>J68*0.5+130</f>
        <v>681.98136743169994</v>
      </c>
      <c r="K71" s="1">
        <f>K68*0.5+130</f>
        <v>690.26108794317543</v>
      </c>
      <c r="L71" s="1">
        <f>L68*0.5+130</f>
        <v>698.66500426232301</v>
      </c>
      <c r="M71" s="1">
        <f>M68*0.5+130</f>
        <v>707.19497932625779</v>
      </c>
      <c r="N71" s="1">
        <f>N68*0.5+130</f>
        <v>715.85290401615157</v>
      </c>
      <c r="O71" s="1">
        <f>O68*0.5+130</f>
        <v>724.64069757639379</v>
      </c>
      <c r="P71" s="1">
        <f>P68*0.5+130</f>
        <v>733.56030804003967</v>
      </c>
      <c r="Q71" s="1">
        <f t="shared" si="130"/>
        <v>10124.2475107094</v>
      </c>
    </row>
    <row r="72" spans="1:17" s="1" customFormat="1" x14ac:dyDescent="0.25">
      <c r="A72" s="1" t="s">
        <v>17</v>
      </c>
      <c r="B72" s="1">
        <f>B71+B70</f>
        <v>-7040</v>
      </c>
      <c r="C72" s="1">
        <f t="shared" ref="C72:Q72" si="188">C71+C70</f>
        <v>216.6500000000002</v>
      </c>
      <c r="D72" s="1">
        <f t="shared" si="188"/>
        <v>381.44974999999943</v>
      </c>
      <c r="E72" s="1">
        <f t="shared" si="188"/>
        <v>547.98649624999757</v>
      </c>
      <c r="F72" s="1">
        <f t="shared" si="188"/>
        <v>716.24954369374609</v>
      </c>
      <c r="G72" s="1">
        <f t="shared" si="188"/>
        <v>886.22619934915076</v>
      </c>
      <c r="H72" s="1">
        <f t="shared" si="188"/>
        <v>1057.901650464386</v>
      </c>
      <c r="I72" s="1">
        <f t="shared" si="188"/>
        <v>1231.2588362526008</v>
      </c>
      <c r="J72" s="1">
        <f t="shared" si="188"/>
        <v>1406.2783128792016</v>
      </c>
      <c r="K72" s="1">
        <f t="shared" si="188"/>
        <v>1582.9381113593422</v>
      </c>
      <c r="L72" s="1">
        <f t="shared" si="188"/>
        <v>1761.2135880060298</v>
      </c>
      <c r="M72" s="1">
        <f t="shared" si="188"/>
        <v>1941.0772670512356</v>
      </c>
      <c r="N72" s="1">
        <f t="shared" si="188"/>
        <v>2122.4986750433745</v>
      </c>
      <c r="O72" s="1">
        <f t="shared" si="188"/>
        <v>2305.4441666047132</v>
      </c>
      <c r="P72" s="1">
        <f t="shared" si="188"/>
        <v>2489.8767411112585</v>
      </c>
      <c r="Q72" s="1">
        <f t="shared" si="130"/>
        <v>11607.049338065037</v>
      </c>
    </row>
    <row r="73" spans="1:17" s="1" customFormat="1" x14ac:dyDescent="0.25">
      <c r="A73" s="1" t="s">
        <v>22</v>
      </c>
      <c r="B73" s="1">
        <f>B62+B72</f>
        <v>3655.5200000000004</v>
      </c>
      <c r="C73" s="1">
        <f>B73+C62+C63-C64-C67-C68-C69+C71</f>
        <v>14812.692799999999</v>
      </c>
      <c r="D73" s="1">
        <f>C73+D62+D63-D64-D67-D68-D69+D71</f>
        <v>26382.893191999996</v>
      </c>
      <c r="E73" s="1">
        <f>D73+E62+E63-E64-E67-E68-E69+E71</f>
        <v>38371.118089879979</v>
      </c>
      <c r="F73" s="1">
        <f>E73+F62+F63-F64-F67-F68-F69+F71</f>
        <v>50782.388706228165</v>
      </c>
      <c r="G73" s="1">
        <f>F73+G62+G63-G64-G67-G68-G69+G71</f>
        <v>63621.748662171573</v>
      </c>
      <c r="H73" s="1">
        <f>G73+H62+H63-H64-H67-H68-H69+H71</f>
        <v>76894.261964464633</v>
      </c>
      <c r="I73" s="1">
        <f>H73+I62+I63-I64-I67-I68-I69+I71</f>
        <v>90605.010842875388</v>
      </c>
      <c r="J73" s="1">
        <f>I73+J62+J63-J64-J67-J68-J69+J71</f>
        <v>104759.09344056375</v>
      </c>
      <c r="K73" s="1">
        <f>J73+K62+K63-K64-K67-K68-K69+K71</f>
        <v>119361.62134978357</v>
      </c>
      <c r="L73" s="1">
        <f>K73+L62+L63-L64-L67-L68-L69+L71</f>
        <v>134417.71698486054</v>
      </c>
      <c r="M73" s="1">
        <f>L73+M62+M63-M64-M67-M68-M69+M71</f>
        <v>149932.51078399859</v>
      </c>
      <c r="N73" s="1">
        <f>M73+N62+N63-N64-N67-N68-N69+N71</f>
        <v>165911.13823104923</v>
      </c>
      <c r="O73" s="1">
        <f>N73+O62+O63-O64-O67-O68-O69+O71</f>
        <v>182358.73668793865</v>
      </c>
      <c r="P73" s="1">
        <f>O73+P62+P63-P64-P67-P68-P69+P71</f>
        <v>199280.4420279871</v>
      </c>
      <c r="Q73" s="3"/>
    </row>
    <row r="74" spans="1:17" s="1" customFormat="1" x14ac:dyDescent="0.25">
      <c r="A74" s="1" t="s">
        <v>18</v>
      </c>
      <c r="B74" s="4">
        <v>83103.11</v>
      </c>
      <c r="C74" s="4">
        <v>80091.199999999997</v>
      </c>
      <c r="D74" s="4">
        <v>76959.7</v>
      </c>
      <c r="E74" s="4">
        <v>73703.87</v>
      </c>
      <c r="F74" s="4">
        <v>70318.77</v>
      </c>
      <c r="G74" s="4">
        <v>66799.259999999995</v>
      </c>
      <c r="H74" s="1">
        <v>63140.01</v>
      </c>
      <c r="I74" s="1">
        <v>59335.47</v>
      </c>
      <c r="J74" s="1">
        <v>55379.87</v>
      </c>
      <c r="K74" s="1">
        <v>51267.22</v>
      </c>
      <c r="L74" s="1">
        <v>46991.27</v>
      </c>
      <c r="M74" s="1">
        <v>42545.55</v>
      </c>
      <c r="N74" s="1">
        <v>37923.32</v>
      </c>
      <c r="O74" s="1">
        <v>33117.56</v>
      </c>
      <c r="P74" s="1">
        <v>28120.98</v>
      </c>
      <c r="Q74" s="1">
        <v>0</v>
      </c>
    </row>
    <row r="75" spans="1:17" s="1" customFormat="1" x14ac:dyDescent="0.25">
      <c r="A75" s="1" t="s">
        <v>19</v>
      </c>
      <c r="B75" s="3"/>
      <c r="C75" s="3"/>
      <c r="D75" s="3"/>
      <c r="E75" s="3"/>
      <c r="F75" s="3"/>
      <c r="G75" s="1" t="s">
        <v>20</v>
      </c>
      <c r="H75" s="1" t="s">
        <v>20</v>
      </c>
      <c r="I75" s="1" t="s">
        <v>20</v>
      </c>
      <c r="J75" s="1" t="s">
        <v>20</v>
      </c>
      <c r="K75" s="1" t="s">
        <v>20</v>
      </c>
      <c r="L75" s="1" t="s">
        <v>20</v>
      </c>
      <c r="M75" s="1" t="s">
        <v>20</v>
      </c>
      <c r="N75" s="1" t="s">
        <v>20</v>
      </c>
      <c r="O75" s="1" t="s">
        <v>20</v>
      </c>
      <c r="P75" s="1" t="s">
        <v>20</v>
      </c>
      <c r="Q75" s="3"/>
    </row>
    <row r="76" spans="1:17" x14ac:dyDescent="0.25">
      <c r="A76" s="9" t="s">
        <v>23</v>
      </c>
      <c r="B76" s="5"/>
      <c r="C76" s="5"/>
      <c r="D76" s="5"/>
      <c r="E76" s="5"/>
      <c r="F76" s="5"/>
      <c r="G76" s="6">
        <f>G73-G74-(G74*0.037)</f>
        <v>-5649.0839578284213</v>
      </c>
      <c r="H76" s="6">
        <f t="shared" ref="H76" si="189">G76+H63+H71-H66-H67-H68-H69</f>
        <v>7288.8176926359638</v>
      </c>
      <c r="I76" s="6">
        <f t="shared" ref="I76" si="190">H76+I63+I71-I66-I67-I68-I69</f>
        <v>20400.07652888857</v>
      </c>
      <c r="J76" s="6">
        <f t="shared" ref="J76" si="191">I76+J63+J71-J66-J67-J68-J69</f>
        <v>33686.354841767774</v>
      </c>
      <c r="K76" s="6">
        <f t="shared" ref="K76" si="192">J76+K63+K71-K66-K67-K68-K69</f>
        <v>47149.292953127122</v>
      </c>
      <c r="L76" s="6">
        <f t="shared" ref="L76" si="193">K76+L63+L71-L66-L67-L68-L69</f>
        <v>60790.506541133152</v>
      </c>
      <c r="M76" s="6">
        <f t="shared" ref="M76" si="194">L76+M63+M71-M66-M67-M68-M69</f>
        <v>74611.583808184383</v>
      </c>
      <c r="N76" s="6">
        <f t="shared" ref="N76" si="195">M76+N63+N71-N66-N67-N68-N69</f>
        <v>88614.082483227758</v>
      </c>
      <c r="O76" s="6">
        <f t="shared" ref="O76" si="196">N76+O63+O71-O66-O67-O68-O69</f>
        <v>102799.52664983246</v>
      </c>
      <c r="P76" s="6">
        <f t="shared" ref="P76" si="197">O76+P63+P71-P66-P67-P68-P69</f>
        <v>117169.40339094373</v>
      </c>
      <c r="Q76" s="5"/>
    </row>
    <row r="77" spans="1:17" x14ac:dyDescent="0.25">
      <c r="A77" s="9"/>
      <c r="B77" s="5"/>
      <c r="C77" s="5"/>
      <c r="D77" s="5"/>
      <c r="E77" s="5"/>
      <c r="F77" s="5"/>
      <c r="G77" s="5"/>
      <c r="H77" s="6">
        <f>H73-H74-(H74*0.037)</f>
        <v>11418.071594464631</v>
      </c>
      <c r="I77" s="6">
        <f t="shared" ref="I77" si="198">H77+I63+I71-I66-I67-I68-I69</f>
        <v>24529.330430717237</v>
      </c>
      <c r="J77" s="6">
        <f t="shared" ref="J77" si="199">I77+J63+J71-J66-J67-J68-J69</f>
        <v>37815.608743596436</v>
      </c>
      <c r="K77" s="6">
        <f t="shared" ref="K77" si="200">J77+K63+K71-K66-K67-K68-K69</f>
        <v>51278.546854955785</v>
      </c>
      <c r="L77" s="6">
        <f t="shared" ref="L77" si="201">K77+L63+L71-L66-L67-L68-L69</f>
        <v>64919.760442961822</v>
      </c>
      <c r="M77" s="6">
        <f t="shared" ref="M77" si="202">L77+M63+M71-M66-M67-M68-M69</f>
        <v>78740.837710013046</v>
      </c>
      <c r="N77" s="6">
        <f t="shared" ref="N77" si="203">M77+N63+N71-N66-N67-N68-N69</f>
        <v>92743.33638505642</v>
      </c>
      <c r="O77" s="6">
        <f t="shared" ref="O77" si="204">N77+O63+O71-O66-O67-O68-O69</f>
        <v>106928.78055166113</v>
      </c>
      <c r="P77" s="6">
        <f t="shared" ref="P77" si="205">O77+P63+P71-P66-P67-P68-P69</f>
        <v>121298.65729277239</v>
      </c>
      <c r="Q77" s="5"/>
    </row>
    <row r="78" spans="1:17" x14ac:dyDescent="0.25">
      <c r="A78" s="9"/>
      <c r="B78" s="5"/>
      <c r="C78" s="5"/>
      <c r="D78" s="5"/>
      <c r="E78" s="5"/>
      <c r="F78" s="5"/>
      <c r="G78" s="5"/>
      <c r="H78" s="5"/>
      <c r="I78" s="6">
        <f>I73-I74-(I74*0.037)</f>
        <v>29074.128452875386</v>
      </c>
      <c r="J78" s="6">
        <f t="shared" ref="J78" si="206">I78+J63+J71-J66-J67-J68-J69</f>
        <v>42360.406765754589</v>
      </c>
      <c r="K78" s="6">
        <f t="shared" ref="K78" si="207">J78+K63+K71-K66-K67-K68-K69</f>
        <v>55823.344877113937</v>
      </c>
      <c r="L78" s="6">
        <f t="shared" ref="L78" si="208">K78+L63+L71-L66-L67-L68-L69</f>
        <v>69464.558465119975</v>
      </c>
      <c r="M78" s="6">
        <f t="shared" ref="M78" si="209">L78+M63+M71-M66-M67-M68-M69</f>
        <v>83285.635732171198</v>
      </c>
      <c r="N78" s="6">
        <f t="shared" ref="N78" si="210">M78+N63+N71-N66-N67-N68-N69</f>
        <v>97288.134407214573</v>
      </c>
      <c r="O78" s="6">
        <f t="shared" ref="O78" si="211">N78+O63+O71-O66-O67-O68-O69</f>
        <v>111473.57857381928</v>
      </c>
      <c r="P78" s="6">
        <f t="shared" ref="P78" si="212">O78+P63+P71-P66-P67-P68-P69</f>
        <v>125843.45531493054</v>
      </c>
      <c r="Q78" s="5"/>
    </row>
    <row r="79" spans="1:17" x14ac:dyDescent="0.25">
      <c r="A79" s="9"/>
      <c r="B79" s="5"/>
      <c r="C79" s="5"/>
      <c r="D79" s="5"/>
      <c r="E79" s="5"/>
      <c r="F79" s="5"/>
      <c r="G79" s="5"/>
      <c r="H79" s="5"/>
      <c r="I79" s="5"/>
      <c r="J79" s="6">
        <f>J73-J74-(J74*0.037)</f>
        <v>47330.168250563751</v>
      </c>
      <c r="K79" s="6">
        <f t="shared" ref="K79" si="213">J79+K63+K71-K66-K67-K68-K69</f>
        <v>60793.106361923099</v>
      </c>
      <c r="L79" s="6">
        <f t="shared" ref="L79" si="214">K79+L63+L71-L66-L67-L68-L69</f>
        <v>74434.319949929137</v>
      </c>
      <c r="M79" s="6">
        <f t="shared" ref="M79" si="215">L79+M63+M71-M66-M67-M68-M69</f>
        <v>88255.39721698036</v>
      </c>
      <c r="N79" s="6">
        <f t="shared" ref="N79" si="216">M79+N63+N71-N66-N67-N68-N69</f>
        <v>102257.89589202373</v>
      </c>
      <c r="O79" s="6">
        <f t="shared" ref="O79" si="217">N79+O63+O71-O66-O67-O68-O69</f>
        <v>116443.34005862844</v>
      </c>
      <c r="P79" s="6">
        <f t="shared" ref="P79" si="218">O79+P63+P71-P66-P67-P68-P69</f>
        <v>130813.2167997397</v>
      </c>
      <c r="Q79" s="5"/>
    </row>
    <row r="80" spans="1:17" x14ac:dyDescent="0.25">
      <c r="A80" s="9"/>
      <c r="B80" s="5"/>
      <c r="C80" s="5"/>
      <c r="D80" s="5"/>
      <c r="E80" s="5"/>
      <c r="F80" s="5"/>
      <c r="G80" s="5"/>
      <c r="H80" s="5"/>
      <c r="I80" s="5"/>
      <c r="J80" s="5"/>
      <c r="K80" s="6">
        <f>K73-K74-(K74*0.037)</f>
        <v>66197.514209783563</v>
      </c>
      <c r="L80" s="6">
        <f>K80+L63+L71-L66-L67-L68-L69</f>
        <v>79838.727797789601</v>
      </c>
      <c r="M80" s="6">
        <f>L80+M63+M71-M66-M67-M68-M69</f>
        <v>93659.805064840839</v>
      </c>
      <c r="N80" s="6">
        <f>M80+N63+N71-N66-N67-N68-N69</f>
        <v>107662.30373988421</v>
      </c>
      <c r="O80" s="6">
        <f>N80+O63+O71-O66-O67-O68-O69</f>
        <v>121847.74790648892</v>
      </c>
      <c r="P80" s="6">
        <f>O80+P63+P71-P66-P67-P68-P69</f>
        <v>136217.6246476002</v>
      </c>
      <c r="Q80" s="5"/>
    </row>
    <row r="81" spans="1:17" x14ac:dyDescent="0.25">
      <c r="A81" s="9"/>
      <c r="B81" s="5"/>
      <c r="C81" s="5"/>
      <c r="D81" s="5"/>
      <c r="E81" s="5"/>
      <c r="F81" s="5"/>
      <c r="G81" s="5"/>
      <c r="H81" s="5"/>
      <c r="I81" s="5"/>
      <c r="J81" s="5"/>
      <c r="K81" s="5"/>
      <c r="L81" s="6">
        <f>L73-L74-(L74*0.037)</f>
        <v>85687.769994860559</v>
      </c>
      <c r="M81" s="6">
        <f>L81+M63+M71-M66-M67-M68-M69</f>
        <v>99508.847261911797</v>
      </c>
      <c r="N81" s="6">
        <f>M81+N63+N71-N66-N67-N68-N69</f>
        <v>113511.34593695517</v>
      </c>
      <c r="O81" s="6">
        <f>N81+O63+O71-O66-O67-O68-O69</f>
        <v>127696.79010355986</v>
      </c>
      <c r="P81" s="6">
        <f>O81+P63+P71-P66-P67-P68-P69</f>
        <v>142066.6668446711</v>
      </c>
      <c r="Q81" s="5"/>
    </row>
    <row r="82" spans="1:17" x14ac:dyDescent="0.25">
      <c r="A82" s="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6">
        <f>M73-M74-(M74*0.037)</f>
        <v>105812.77543399858</v>
      </c>
      <c r="N82" s="6">
        <f>M82+N63+N71-N66-N67-N68-N69</f>
        <v>119815.27410904196</v>
      </c>
      <c r="O82" s="6">
        <f>N82+O63+O71-O66-O67-O68-O69</f>
        <v>134000.71827564668</v>
      </c>
      <c r="P82" s="6">
        <f>O82+P63+P71-P66-P67-P68-P69</f>
        <v>148370.59501675793</v>
      </c>
      <c r="Q82" s="5"/>
    </row>
    <row r="83" spans="1:17" x14ac:dyDescent="0.25">
      <c r="A83" s="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6">
        <f>N73-N74-(N74*0.037)</f>
        <v>126584.65539104922</v>
      </c>
      <c r="O83" s="6">
        <f>N83+O63+O71-O66-O67-O68-O69</f>
        <v>140770.09955765394</v>
      </c>
      <c r="P83" s="6">
        <f>O83+P63+P71-P66-P67-P68-P69</f>
        <v>155139.97629876519</v>
      </c>
      <c r="Q83" s="5"/>
    </row>
    <row r="84" spans="1:17" x14ac:dyDescent="0.25">
      <c r="A84" s="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6">
        <f>O73-O74-(O74*0.037)</f>
        <v>148015.82696793866</v>
      </c>
      <c r="P84" s="6">
        <f>O84+P63+P71-P66-P67-P68-P69</f>
        <v>162385.70370904994</v>
      </c>
      <c r="Q84" s="5"/>
    </row>
    <row r="85" spans="1:17" x14ac:dyDescent="0.25">
      <c r="A85" s="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6">
        <f>Q72</f>
        <v>11607.049338065037</v>
      </c>
    </row>
  </sheetData>
  <mergeCells count="11">
    <mergeCell ref="A61:Q61"/>
    <mergeCell ref="A76:A85"/>
    <mergeCell ref="A47:A56"/>
    <mergeCell ref="A30:Q30"/>
    <mergeCell ref="A58:Q58"/>
    <mergeCell ref="A59:Q59"/>
    <mergeCell ref="A1:Q1"/>
    <mergeCell ref="A4:Q4"/>
    <mergeCell ref="A18:A27"/>
    <mergeCell ref="A2:Q2"/>
    <mergeCell ref="A31:Q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 barlatier</dc:creator>
  <cp:lastModifiedBy>remy barlatier</cp:lastModifiedBy>
  <dcterms:created xsi:type="dcterms:W3CDTF">2025-10-09T11:21:36Z</dcterms:created>
  <dcterms:modified xsi:type="dcterms:W3CDTF">2026-06-11T14:51:35Z</dcterms:modified>
</cp:coreProperties>
</file>